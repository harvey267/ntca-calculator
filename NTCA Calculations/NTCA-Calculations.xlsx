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bsidian Vault\SRT\Retirement\NTCA Calculations\"/>
    </mc:Choice>
  </mc:AlternateContent>
  <xr:revisionPtr revIDLastSave="0" documentId="13_ncr:1_{3F5173A7-E38B-41C9-9763-A4378FC3600D}" xr6:coauthVersionLast="47" xr6:coauthVersionMax="47" xr10:uidLastSave="{00000000-0000-0000-0000-000000000000}"/>
  <bookViews>
    <workbookView xWindow="570" yWindow="2595" windowWidth="26190" windowHeight="11295" activeTab="3" xr2:uid="{B2BDF963-AA0F-4857-85D8-41654B732706}"/>
  </bookViews>
  <sheets>
    <sheet name="Inputs" sheetId="1" r:id="rId1"/>
    <sheet name="Motality Table" sheetId="2" r:id="rId2"/>
    <sheet name="Lump Sum Calculation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4" l="1"/>
  <c r="I18" i="4"/>
  <c r="I19" i="4"/>
  <c r="I20" i="4"/>
  <c r="I21" i="4"/>
  <c r="I2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K18" i="4"/>
  <c r="K19" i="4"/>
  <c r="K20" i="4"/>
  <c r="K21" i="4"/>
  <c r="K22" i="4"/>
  <c r="F18" i="4"/>
  <c r="F19" i="4"/>
  <c r="F20" i="4"/>
  <c r="F21" i="4"/>
  <c r="F22" i="4"/>
  <c r="K16" i="4"/>
  <c r="K17" i="4"/>
  <c r="F16" i="4"/>
  <c r="F17" i="4"/>
  <c r="K4" i="4"/>
  <c r="K5" i="4"/>
  <c r="K6" i="4"/>
  <c r="K7" i="4"/>
  <c r="K8" i="4"/>
  <c r="K9" i="4"/>
  <c r="K10" i="4"/>
  <c r="K11" i="4"/>
  <c r="K12" i="4"/>
  <c r="K13" i="4"/>
  <c r="K14" i="4"/>
  <c r="K15" i="4"/>
  <c r="K3" i="4"/>
  <c r="F10" i="4"/>
  <c r="F11" i="4"/>
  <c r="F12" i="4"/>
  <c r="F13" i="4"/>
  <c r="F14" i="4"/>
  <c r="F15" i="4"/>
  <c r="F4" i="4"/>
  <c r="F5" i="4"/>
  <c r="F6" i="4"/>
  <c r="F7" i="4"/>
  <c r="F8" i="4"/>
  <c r="F9" i="4"/>
  <c r="F3" i="4"/>
  <c r="H6" i="3"/>
  <c r="H2" i="3"/>
  <c r="E6" i="3"/>
  <c r="F6" i="3" s="1"/>
  <c r="C6" i="3"/>
  <c r="G6" i="3"/>
  <c r="D6" i="3"/>
  <c r="G2" i="3"/>
  <c r="E2" i="3"/>
  <c r="F2" i="3" s="1"/>
  <c r="C2" i="3"/>
  <c r="D2" i="3" s="1"/>
  <c r="B3" i="3" l="1"/>
  <c r="B7" i="3"/>
</calcChain>
</file>

<file path=xl/sharedStrings.xml><?xml version="1.0" encoding="utf-8"?>
<sst xmlns="http://schemas.openxmlformats.org/spreadsheetml/2006/main" count="54" uniqueCount="42">
  <si>
    <t>Field</t>
  </si>
  <si>
    <t>Notes</t>
  </si>
  <si>
    <t>Retirement Age</t>
  </si>
  <si>
    <t>Monthly Annuity Amount</t>
  </si>
  <si>
    <t>Lookback Month</t>
  </si>
  <si>
    <t>Segment 1 Rate (0–5 yrs)</t>
  </si>
  <si>
    <t>Segment 2 Rate (5–20 yrs)</t>
  </si>
  <si>
    <t>Segment 3 Rate (20+ yrs)</t>
  </si>
  <si>
    <t>Mortality Table Year</t>
  </si>
  <si>
    <t>Max Age</t>
  </si>
  <si>
    <t>Starting age for annuity</t>
  </si>
  <si>
    <t>From NTCA formula</t>
  </si>
  <si>
    <t>Determines IRS rates</t>
  </si>
  <si>
    <t>From IRS website</t>
  </si>
  <si>
    <t>IRS Unisex table</t>
  </si>
  <si>
    <t>End of projection</t>
  </si>
  <si>
    <t>Age</t>
  </si>
  <si>
    <t>Unisex Probability of Survival</t>
  </si>
  <si>
    <t>Year</t>
  </si>
  <si>
    <t>Monthly payment</t>
  </si>
  <si>
    <t>Segment Rate</t>
  </si>
  <si>
    <t>Discount Factor</t>
  </si>
  <si>
    <t>Survival Probability</t>
  </si>
  <si>
    <t>Annual Payment</t>
  </si>
  <si>
    <t>Nov. Current Year</t>
  </si>
  <si>
    <t>Jan Following YearValue</t>
  </si>
  <si>
    <t>Present Value</t>
  </si>
  <si>
    <t>“Estimated Lump Sum – Nov 2025”</t>
  </si>
  <si>
    <t>“Estimated Lump Sum – Jan 2026”</t>
  </si>
  <si>
    <t>Retirement Date</t>
  </si>
  <si>
    <t xml:space="preserve"> Benefit % x(High 5) x Years Of Service </t>
  </si>
  <si>
    <t>Annual Annuity =</t>
  </si>
  <si>
    <t>(0.019 x 100000 x 30) =</t>
  </si>
  <si>
    <t>Yearly</t>
  </si>
  <si>
    <t xml:space="preserve">Δ from Prior Month Annual </t>
  </si>
  <si>
    <t>Δ from Prior Month Lump</t>
  </si>
  <si>
    <t xml:space="preserve">Δ from Prior Month Monthly </t>
  </si>
  <si>
    <t>Last Employment Date</t>
  </si>
  <si>
    <t>NTCA Lump Sum</t>
  </si>
  <si>
    <t>My Cal Lump</t>
  </si>
  <si>
    <t>NTCA Annuity</t>
  </si>
  <si>
    <t>My Cal 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</si>
</sst>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.00"/>
    <numFmt numFmtId="165" formatCode="0.000"/>
    <numFmt numFmtId="166" formatCode="&quot;$&quot;#,##0.00;[Red]&quot;$&quot;#,##0.00"/>
    <numFmt numFmtId="167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0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7" fontId="0" fillId="0" borderId="1" xfId="0" applyNumberFormat="1" applyBorder="1"/>
    <xf numFmtId="10" fontId="0" fillId="0" borderId="1" xfId="0" applyNumberForma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8" fontId="0" fillId="0" borderId="0" xfId="0" applyNumberFormat="1"/>
    <xf numFmtId="1" fontId="0" fillId="0" borderId="1" xfId="0" applyNumberFormat="1" applyBorder="1"/>
    <xf numFmtId="165" fontId="0" fillId="0" borderId="0" xfId="0" applyNumberFormat="1"/>
    <xf numFmtId="3" fontId="0" fillId="0" borderId="0" xfId="0" applyNumberFormat="1"/>
    <xf numFmtId="1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1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D891D-58FD-41E8-A4CA-A779E9D88D38}" name="Mortality" displayName="Mortality" ref="A2:B123" totalsRowShown="0">
  <autoFilter ref="A2:B123" xr:uid="{A3AD891D-58FD-41E8-A4CA-A779E9D88D38}"/>
  <tableColumns count="2">
    <tableColumn id="1" xr3:uid="{43C26197-6A05-454D-A198-F30AE02AA7B6}" name="Age"/>
    <tableColumn id="2" xr3:uid="{6E1C1F4A-BD3A-4A0D-AA9B-973BDFB9D60E}" name="Unisex Probability of Survi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922D-BE31-486E-B4C4-AEE94164D932}">
  <dimension ref="A1:D9"/>
  <sheetViews>
    <sheetView workbookViewId="0">
      <selection activeCell="D14" sqref="D14"/>
    </sheetView>
  </sheetViews>
  <sheetFormatPr defaultRowHeight="15" x14ac:dyDescent="0.25"/>
  <cols>
    <col min="1" max="1" width="23.28515625" bestFit="1" customWidth="1"/>
    <col min="2" max="2" width="17.28515625" bestFit="1" customWidth="1"/>
    <col min="3" max="3" width="22.7109375" bestFit="1" customWidth="1"/>
    <col min="4" max="4" width="21.5703125" bestFit="1" customWidth="1"/>
  </cols>
  <sheetData>
    <row r="1" spans="1:4" x14ac:dyDescent="0.25">
      <c r="A1" s="9" t="s">
        <v>0</v>
      </c>
      <c r="B1" s="9" t="s">
        <v>24</v>
      </c>
      <c r="C1" s="9" t="s">
        <v>25</v>
      </c>
      <c r="D1" s="9" t="s">
        <v>1</v>
      </c>
    </row>
    <row r="2" spans="1:4" x14ac:dyDescent="0.25">
      <c r="A2" s="4" t="s">
        <v>2</v>
      </c>
      <c r="B2" s="4">
        <v>65</v>
      </c>
      <c r="C2" s="4">
        <v>65.5</v>
      </c>
      <c r="D2" s="4" t="s">
        <v>10</v>
      </c>
    </row>
    <row r="3" spans="1:4" x14ac:dyDescent="0.25">
      <c r="A3" s="4" t="s">
        <v>3</v>
      </c>
      <c r="B3" s="5">
        <v>3166.67</v>
      </c>
      <c r="C3" s="5">
        <v>3166.67</v>
      </c>
      <c r="D3" s="4" t="s">
        <v>11</v>
      </c>
    </row>
    <row r="4" spans="1:4" x14ac:dyDescent="0.25">
      <c r="A4" s="4" t="s">
        <v>4</v>
      </c>
      <c r="B4" s="6">
        <v>45505</v>
      </c>
      <c r="C4" s="6">
        <v>45870</v>
      </c>
      <c r="D4" s="4" t="s">
        <v>12</v>
      </c>
    </row>
    <row r="5" spans="1:4" x14ac:dyDescent="0.25">
      <c r="A5" s="4" t="s">
        <v>5</v>
      </c>
      <c r="B5" s="7">
        <v>4.4999999999999998E-2</v>
      </c>
      <c r="C5" s="7">
        <v>4.2000000000000003E-2</v>
      </c>
      <c r="D5" s="4" t="s">
        <v>13</v>
      </c>
    </row>
    <row r="6" spans="1:4" x14ac:dyDescent="0.25">
      <c r="A6" s="4" t="s">
        <v>6</v>
      </c>
      <c r="B6" s="7">
        <v>5.2499999999999998E-2</v>
      </c>
      <c r="C6" s="7">
        <v>5.2900000000000003E-2</v>
      </c>
      <c r="D6" s="4" t="s">
        <v>13</v>
      </c>
    </row>
    <row r="7" spans="1:4" x14ac:dyDescent="0.25">
      <c r="A7" s="4" t="s">
        <v>7</v>
      </c>
      <c r="B7" s="7">
        <v>5.7500000000000002E-2</v>
      </c>
      <c r="C7" s="7">
        <v>6.08E-2</v>
      </c>
      <c r="D7" s="4" t="s">
        <v>13</v>
      </c>
    </row>
    <row r="8" spans="1:4" x14ac:dyDescent="0.25">
      <c r="A8" s="4" t="s">
        <v>8</v>
      </c>
      <c r="B8" s="11">
        <v>2024</v>
      </c>
      <c r="C8" s="11">
        <v>2024</v>
      </c>
      <c r="D8" s="4" t="s">
        <v>14</v>
      </c>
    </row>
    <row r="9" spans="1:4" x14ac:dyDescent="0.25">
      <c r="A9" s="4" t="s">
        <v>9</v>
      </c>
      <c r="B9" s="11">
        <v>120</v>
      </c>
      <c r="C9" s="11">
        <v>120</v>
      </c>
      <c r="D9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5081-B83A-4C9C-A90E-B938C629E2B3}">
  <dimension ref="A2:B123"/>
  <sheetViews>
    <sheetView topLeftCell="A54" workbookViewId="0">
      <selection activeCell="A2" sqref="A2:B2"/>
    </sheetView>
  </sheetViews>
  <sheetFormatPr defaultRowHeight="15" x14ac:dyDescent="0.25"/>
  <cols>
    <col min="1" max="1" width="6.42578125" customWidth="1"/>
    <col min="2" max="2" width="29.28515625" customWidth="1"/>
    <col min="3" max="3" width="19.5703125" bestFit="1" customWidth="1"/>
    <col min="4" max="4" width="42.7109375" bestFit="1" customWidth="1"/>
    <col min="5" max="5" width="14.140625" bestFit="1" customWidth="1"/>
    <col min="6" max="6" width="19.5703125" bestFit="1" customWidth="1"/>
    <col min="7" max="7" width="42.7109375" bestFit="1" customWidth="1"/>
    <col min="8" max="8" width="34.85546875" bestFit="1" customWidth="1"/>
  </cols>
  <sheetData>
    <row r="2" spans="1:2" x14ac:dyDescent="0.25">
      <c r="A2" t="s">
        <v>16</v>
      </c>
      <c r="B2" t="s">
        <v>17</v>
      </c>
    </row>
    <row r="3" spans="1:2" x14ac:dyDescent="0.25">
      <c r="A3">
        <v>0</v>
      </c>
      <c r="B3">
        <v>3.4150000000000001E-3</v>
      </c>
    </row>
    <row r="4" spans="1:2" x14ac:dyDescent="0.25">
      <c r="A4">
        <v>1</v>
      </c>
      <c r="B4">
        <v>2.0699999999999999E-4</v>
      </c>
    </row>
    <row r="5" spans="1:2" x14ac:dyDescent="0.25">
      <c r="A5">
        <v>2</v>
      </c>
      <c r="B5">
        <v>1.3899999999999999E-4</v>
      </c>
    </row>
    <row r="6" spans="1:2" x14ac:dyDescent="0.25">
      <c r="A6">
        <v>3</v>
      </c>
      <c r="B6">
        <v>1.11E-4</v>
      </c>
    </row>
    <row r="7" spans="1:2" x14ac:dyDescent="0.25">
      <c r="A7">
        <v>4</v>
      </c>
      <c r="B7">
        <v>8.6000000000000003E-5</v>
      </c>
    </row>
    <row r="8" spans="1:2" x14ac:dyDescent="0.25">
      <c r="A8">
        <v>5</v>
      </c>
      <c r="B8">
        <v>7.7000000000000001E-5</v>
      </c>
    </row>
    <row r="9" spans="1:2" x14ac:dyDescent="0.25">
      <c r="A9">
        <v>6</v>
      </c>
      <c r="B9">
        <v>7.1000000000000005E-5</v>
      </c>
    </row>
    <row r="10" spans="1:2" x14ac:dyDescent="0.25">
      <c r="A10">
        <v>7</v>
      </c>
      <c r="B10">
        <v>6.4999999999999994E-5</v>
      </c>
    </row>
    <row r="11" spans="1:2" x14ac:dyDescent="0.25">
      <c r="A11">
        <v>8</v>
      </c>
      <c r="B11">
        <v>5.8E-5</v>
      </c>
    </row>
    <row r="12" spans="1:2" x14ac:dyDescent="0.25">
      <c r="A12">
        <v>9</v>
      </c>
      <c r="B12">
        <v>5.0000000000000002E-5</v>
      </c>
    </row>
    <row r="13" spans="1:2" x14ac:dyDescent="0.25">
      <c r="A13">
        <v>10</v>
      </c>
      <c r="B13">
        <v>4.5000000000000003E-5</v>
      </c>
    </row>
    <row r="14" spans="1:2" x14ac:dyDescent="0.25">
      <c r="A14">
        <v>11</v>
      </c>
      <c r="B14">
        <v>4.6999999999999997E-5</v>
      </c>
    </row>
    <row r="15" spans="1:2" x14ac:dyDescent="0.25">
      <c r="A15">
        <v>12</v>
      </c>
      <c r="B15">
        <v>6.3E-5</v>
      </c>
    </row>
    <row r="16" spans="1:2" x14ac:dyDescent="0.25">
      <c r="A16">
        <v>13</v>
      </c>
      <c r="B16">
        <v>7.7999999999999999E-5</v>
      </c>
    </row>
    <row r="17" spans="1:2" x14ac:dyDescent="0.25">
      <c r="A17">
        <v>14</v>
      </c>
      <c r="B17">
        <v>9.2999999999999997E-5</v>
      </c>
    </row>
    <row r="18" spans="1:2" x14ac:dyDescent="0.25">
      <c r="A18">
        <v>15</v>
      </c>
      <c r="B18">
        <v>1.08E-4</v>
      </c>
    </row>
    <row r="19" spans="1:2" x14ac:dyDescent="0.25">
      <c r="A19">
        <v>16</v>
      </c>
      <c r="B19">
        <v>1.22E-4</v>
      </c>
    </row>
    <row r="20" spans="1:2" x14ac:dyDescent="0.25">
      <c r="A20">
        <v>17</v>
      </c>
      <c r="B20">
        <v>1.37E-4</v>
      </c>
    </row>
    <row r="21" spans="1:2" x14ac:dyDescent="0.25">
      <c r="A21">
        <v>18</v>
      </c>
      <c r="B21">
        <v>1.5300000000000001E-4</v>
      </c>
    </row>
    <row r="22" spans="1:2" x14ac:dyDescent="0.25">
      <c r="A22">
        <v>19</v>
      </c>
      <c r="B22">
        <v>1.6899999999999999E-4</v>
      </c>
    </row>
    <row r="23" spans="1:2" x14ac:dyDescent="0.25">
      <c r="A23">
        <v>20</v>
      </c>
      <c r="B23">
        <v>1.8200000000000001E-4</v>
      </c>
    </row>
    <row r="24" spans="1:2" x14ac:dyDescent="0.25">
      <c r="A24">
        <v>21</v>
      </c>
      <c r="B24">
        <v>2.0100000000000001E-4</v>
      </c>
    </row>
    <row r="25" spans="1:2" x14ac:dyDescent="0.25">
      <c r="A25">
        <v>22</v>
      </c>
      <c r="B25">
        <v>2.1900000000000001E-4</v>
      </c>
    </row>
    <row r="26" spans="1:2" x14ac:dyDescent="0.25">
      <c r="A26">
        <v>23</v>
      </c>
      <c r="B26">
        <v>2.3499999999999999E-4</v>
      </c>
    </row>
    <row r="27" spans="1:2" x14ac:dyDescent="0.25">
      <c r="A27">
        <v>24</v>
      </c>
      <c r="B27">
        <v>2.4600000000000002E-4</v>
      </c>
    </row>
    <row r="28" spans="1:2" x14ac:dyDescent="0.25">
      <c r="A28">
        <v>25</v>
      </c>
      <c r="B28">
        <v>2.43E-4</v>
      </c>
    </row>
    <row r="29" spans="1:2" x14ac:dyDescent="0.25">
      <c r="A29">
        <v>26</v>
      </c>
      <c r="B29">
        <v>2.4399999999999999E-4</v>
      </c>
    </row>
    <row r="30" spans="1:2" x14ac:dyDescent="0.25">
      <c r="A30">
        <v>27</v>
      </c>
      <c r="B30">
        <v>2.4899999999999998E-4</v>
      </c>
    </row>
    <row r="31" spans="1:2" x14ac:dyDescent="0.25">
      <c r="A31">
        <v>28</v>
      </c>
      <c r="B31">
        <v>2.5799999999999998E-4</v>
      </c>
    </row>
    <row r="32" spans="1:2" x14ac:dyDescent="0.25">
      <c r="A32">
        <v>29</v>
      </c>
      <c r="B32">
        <v>2.7E-4</v>
      </c>
    </row>
    <row r="33" spans="1:2" x14ac:dyDescent="0.25">
      <c r="A33">
        <v>30</v>
      </c>
      <c r="B33">
        <v>2.8600000000000001E-4</v>
      </c>
    </row>
    <row r="34" spans="1:2" x14ac:dyDescent="0.25">
      <c r="A34">
        <v>31</v>
      </c>
      <c r="B34">
        <v>3.0499999999999999E-4</v>
      </c>
    </row>
    <row r="35" spans="1:2" x14ac:dyDescent="0.25">
      <c r="A35">
        <v>32</v>
      </c>
      <c r="B35">
        <v>3.2600000000000001E-4</v>
      </c>
    </row>
    <row r="36" spans="1:2" x14ac:dyDescent="0.25">
      <c r="A36">
        <v>33</v>
      </c>
      <c r="B36">
        <v>3.4699999999999998E-4</v>
      </c>
    </row>
    <row r="37" spans="1:2" x14ac:dyDescent="0.25">
      <c r="A37">
        <v>34</v>
      </c>
      <c r="B37">
        <v>3.68E-4</v>
      </c>
    </row>
    <row r="38" spans="1:2" x14ac:dyDescent="0.25">
      <c r="A38">
        <v>35</v>
      </c>
      <c r="B38">
        <v>3.8699999999999997E-4</v>
      </c>
    </row>
    <row r="39" spans="1:2" x14ac:dyDescent="0.25">
      <c r="A39">
        <v>36</v>
      </c>
      <c r="B39">
        <v>4.0299999999999998E-4</v>
      </c>
    </row>
    <row r="40" spans="1:2" x14ac:dyDescent="0.25">
      <c r="A40">
        <v>37</v>
      </c>
      <c r="B40">
        <v>4.2000000000000002E-4</v>
      </c>
    </row>
    <row r="41" spans="1:2" x14ac:dyDescent="0.25">
      <c r="A41">
        <v>38</v>
      </c>
      <c r="B41">
        <v>4.3899999999999999E-4</v>
      </c>
    </row>
    <row r="42" spans="1:2" x14ac:dyDescent="0.25">
      <c r="A42">
        <v>39</v>
      </c>
      <c r="B42">
        <v>4.5899999999999999E-4</v>
      </c>
    </row>
    <row r="43" spans="1:2" x14ac:dyDescent="0.25">
      <c r="A43">
        <v>40</v>
      </c>
      <c r="B43">
        <v>4.8299999999999998E-4</v>
      </c>
    </row>
    <row r="44" spans="1:2" x14ac:dyDescent="0.25">
      <c r="A44">
        <v>41</v>
      </c>
      <c r="B44">
        <v>5.0799999999999999E-4</v>
      </c>
    </row>
    <row r="45" spans="1:2" x14ac:dyDescent="0.25">
      <c r="A45">
        <v>42</v>
      </c>
      <c r="B45">
        <v>5.3799999999999996E-4</v>
      </c>
    </row>
    <row r="46" spans="1:2" x14ac:dyDescent="0.25">
      <c r="A46">
        <v>43</v>
      </c>
      <c r="B46">
        <v>5.7600000000000001E-4</v>
      </c>
    </row>
    <row r="47" spans="1:2" x14ac:dyDescent="0.25">
      <c r="A47">
        <v>44</v>
      </c>
      <c r="B47">
        <v>6.2E-4</v>
      </c>
    </row>
    <row r="48" spans="1:2" x14ac:dyDescent="0.25">
      <c r="A48">
        <v>45</v>
      </c>
      <c r="B48">
        <v>6.7400000000000001E-4</v>
      </c>
    </row>
    <row r="49" spans="1:2" x14ac:dyDescent="0.25">
      <c r="A49">
        <v>46</v>
      </c>
      <c r="B49">
        <v>7.3800000000000005E-4</v>
      </c>
    </row>
    <row r="50" spans="1:2" x14ac:dyDescent="0.25">
      <c r="A50">
        <v>47</v>
      </c>
      <c r="B50">
        <v>8.1400000000000005E-4</v>
      </c>
    </row>
    <row r="51" spans="1:2" x14ac:dyDescent="0.25">
      <c r="A51">
        <v>48</v>
      </c>
      <c r="B51">
        <v>9.0200000000000002E-4</v>
      </c>
    </row>
    <row r="52" spans="1:2" x14ac:dyDescent="0.25">
      <c r="A52">
        <v>49</v>
      </c>
      <c r="B52">
        <v>1.003E-3</v>
      </c>
    </row>
    <row r="53" spans="1:2" x14ac:dyDescent="0.25">
      <c r="A53">
        <v>50</v>
      </c>
      <c r="B53">
        <v>1.1199999999999999E-3</v>
      </c>
    </row>
    <row r="54" spans="1:2" x14ac:dyDescent="0.25">
      <c r="A54">
        <v>51</v>
      </c>
      <c r="B54">
        <v>1.2390000000000001E-3</v>
      </c>
    </row>
    <row r="55" spans="1:2" x14ac:dyDescent="0.25">
      <c r="A55">
        <v>52</v>
      </c>
      <c r="B55">
        <v>1.3929999999999999E-3</v>
      </c>
    </row>
    <row r="56" spans="1:2" x14ac:dyDescent="0.25">
      <c r="A56">
        <v>53</v>
      </c>
      <c r="B56">
        <v>1.572E-3</v>
      </c>
    </row>
    <row r="57" spans="1:2" x14ac:dyDescent="0.25">
      <c r="A57">
        <v>54</v>
      </c>
      <c r="B57">
        <v>1.781E-3</v>
      </c>
    </row>
    <row r="58" spans="1:2" x14ac:dyDescent="0.25">
      <c r="A58">
        <v>55</v>
      </c>
      <c r="B58">
        <v>2.101E-3</v>
      </c>
    </row>
    <row r="59" spans="1:2" x14ac:dyDescent="0.25">
      <c r="A59">
        <v>56</v>
      </c>
      <c r="B59">
        <v>2.5209999999999998E-3</v>
      </c>
    </row>
    <row r="60" spans="1:2" x14ac:dyDescent="0.25">
      <c r="A60">
        <v>57</v>
      </c>
      <c r="B60">
        <v>2.895E-3</v>
      </c>
    </row>
    <row r="61" spans="1:2" x14ac:dyDescent="0.25">
      <c r="A61">
        <v>58</v>
      </c>
      <c r="B61">
        <v>3.3110000000000001E-3</v>
      </c>
    </row>
    <row r="62" spans="1:2" x14ac:dyDescent="0.25">
      <c r="A62">
        <v>59</v>
      </c>
      <c r="B62">
        <v>3.7720000000000002E-3</v>
      </c>
    </row>
    <row r="63" spans="1:2" x14ac:dyDescent="0.25">
      <c r="A63">
        <v>60</v>
      </c>
      <c r="B63">
        <v>4.3049999999999998E-3</v>
      </c>
    </row>
    <row r="64" spans="1:2" x14ac:dyDescent="0.25">
      <c r="A64">
        <v>61</v>
      </c>
      <c r="B64">
        <v>4.9370000000000004E-3</v>
      </c>
    </row>
    <row r="65" spans="1:2" x14ac:dyDescent="0.25">
      <c r="A65">
        <v>62</v>
      </c>
      <c r="B65">
        <v>5.6299999999999996E-3</v>
      </c>
    </row>
    <row r="66" spans="1:2" x14ac:dyDescent="0.25">
      <c r="A66">
        <v>63</v>
      </c>
      <c r="B66">
        <v>6.4079999999999996E-3</v>
      </c>
    </row>
    <row r="67" spans="1:2" x14ac:dyDescent="0.25">
      <c r="A67">
        <v>64</v>
      </c>
      <c r="B67">
        <v>7.1459999999999996E-3</v>
      </c>
    </row>
    <row r="68" spans="1:2" x14ac:dyDescent="0.25">
      <c r="A68">
        <v>65</v>
      </c>
      <c r="B68">
        <v>7.9430000000000004E-3</v>
      </c>
    </row>
    <row r="69" spans="1:2" x14ac:dyDescent="0.25">
      <c r="A69">
        <v>66</v>
      </c>
      <c r="B69">
        <v>8.8400000000000006E-3</v>
      </c>
    </row>
    <row r="70" spans="1:2" x14ac:dyDescent="0.25">
      <c r="A70">
        <v>67</v>
      </c>
      <c r="B70">
        <v>9.7230000000000007E-3</v>
      </c>
    </row>
    <row r="71" spans="1:2" x14ac:dyDescent="0.25">
      <c r="A71">
        <v>68</v>
      </c>
      <c r="B71">
        <v>1.0687E-2</v>
      </c>
    </row>
    <row r="72" spans="1:2" x14ac:dyDescent="0.25">
      <c r="A72">
        <v>69</v>
      </c>
      <c r="B72">
        <v>1.1757E-2</v>
      </c>
    </row>
    <row r="73" spans="1:2" x14ac:dyDescent="0.25">
      <c r="A73">
        <v>70</v>
      </c>
      <c r="B73">
        <v>1.2935E-2</v>
      </c>
    </row>
    <row r="74" spans="1:2" x14ac:dyDescent="0.25">
      <c r="A74">
        <v>71</v>
      </c>
      <c r="B74">
        <v>1.4277E-2</v>
      </c>
    </row>
    <row r="75" spans="1:2" x14ac:dyDescent="0.25">
      <c r="A75">
        <v>72</v>
      </c>
      <c r="B75">
        <v>1.5796000000000001E-2</v>
      </c>
    </row>
    <row r="76" spans="1:2" x14ac:dyDescent="0.25">
      <c r="A76">
        <v>73</v>
      </c>
      <c r="B76">
        <v>1.7517999999999999E-2</v>
      </c>
    </row>
    <row r="77" spans="1:2" x14ac:dyDescent="0.25">
      <c r="A77">
        <v>74</v>
      </c>
      <c r="B77">
        <v>1.9470000000000001E-2</v>
      </c>
    </row>
    <row r="78" spans="1:2" x14ac:dyDescent="0.25">
      <c r="A78">
        <v>75</v>
      </c>
      <c r="B78">
        <v>2.1683999999999998E-2</v>
      </c>
    </row>
    <row r="79" spans="1:2" x14ac:dyDescent="0.25">
      <c r="A79">
        <v>76</v>
      </c>
      <c r="B79">
        <v>2.4212999999999998E-2</v>
      </c>
    </row>
    <row r="80" spans="1:2" x14ac:dyDescent="0.25">
      <c r="A80">
        <v>77</v>
      </c>
      <c r="B80">
        <v>2.7097E-2</v>
      </c>
    </row>
    <row r="81" spans="1:2" x14ac:dyDescent="0.25">
      <c r="A81">
        <v>78</v>
      </c>
      <c r="B81">
        <v>3.0387999999999998E-2</v>
      </c>
    </row>
    <row r="82" spans="1:2" x14ac:dyDescent="0.25">
      <c r="A82">
        <v>79</v>
      </c>
      <c r="B82">
        <v>3.4146999999999997E-2</v>
      </c>
    </row>
    <row r="83" spans="1:2" x14ac:dyDescent="0.25">
      <c r="A83">
        <v>80</v>
      </c>
      <c r="B83">
        <v>3.8469999999999997E-2</v>
      </c>
    </row>
    <row r="84" spans="1:2" x14ac:dyDescent="0.25">
      <c r="A84">
        <v>81</v>
      </c>
      <c r="B84">
        <v>4.3151000000000002E-2</v>
      </c>
    </row>
    <row r="85" spans="1:2" x14ac:dyDescent="0.25">
      <c r="A85">
        <v>82</v>
      </c>
      <c r="B85">
        <v>4.8476999999999999E-2</v>
      </c>
    </row>
    <row r="86" spans="1:2" x14ac:dyDescent="0.25">
      <c r="A86">
        <v>83</v>
      </c>
      <c r="B86">
        <v>5.4577000000000001E-2</v>
      </c>
    </row>
    <row r="87" spans="1:2" x14ac:dyDescent="0.25">
      <c r="A87">
        <v>84</v>
      </c>
      <c r="B87">
        <v>6.1529E-2</v>
      </c>
    </row>
    <row r="88" spans="1:2" x14ac:dyDescent="0.25">
      <c r="A88">
        <v>85</v>
      </c>
      <c r="B88">
        <v>6.9392999999999996E-2</v>
      </c>
    </row>
    <row r="89" spans="1:2" x14ac:dyDescent="0.25">
      <c r="A89">
        <v>86</v>
      </c>
      <c r="B89">
        <v>7.8322000000000003E-2</v>
      </c>
    </row>
    <row r="90" spans="1:2" x14ac:dyDescent="0.25">
      <c r="A90">
        <v>87</v>
      </c>
      <c r="B90">
        <v>8.8366E-2</v>
      </c>
    </row>
    <row r="91" spans="1:2" x14ac:dyDescent="0.25">
      <c r="A91">
        <v>88</v>
      </c>
      <c r="B91">
        <v>9.9597000000000005E-2</v>
      </c>
    </row>
    <row r="92" spans="1:2" x14ac:dyDescent="0.25">
      <c r="A92">
        <v>89</v>
      </c>
      <c r="B92">
        <v>0.112057</v>
      </c>
    </row>
    <row r="93" spans="1:2" x14ac:dyDescent="0.25">
      <c r="A93">
        <v>90</v>
      </c>
      <c r="B93">
        <v>0.12590899999999999</v>
      </c>
    </row>
    <row r="94" spans="1:2" x14ac:dyDescent="0.25">
      <c r="A94">
        <v>91</v>
      </c>
      <c r="B94">
        <v>0.140711</v>
      </c>
    </row>
    <row r="95" spans="1:2" x14ac:dyDescent="0.25">
      <c r="A95">
        <v>92</v>
      </c>
      <c r="B95">
        <v>0.156166</v>
      </c>
    </row>
    <row r="96" spans="1:2" x14ac:dyDescent="0.25">
      <c r="A96">
        <v>93</v>
      </c>
      <c r="B96">
        <v>0.171983</v>
      </c>
    </row>
    <row r="97" spans="1:2" x14ac:dyDescent="0.25">
      <c r="A97">
        <v>94</v>
      </c>
      <c r="B97">
        <v>0.18809100000000001</v>
      </c>
    </row>
    <row r="98" spans="1:2" x14ac:dyDescent="0.25">
      <c r="A98">
        <v>95</v>
      </c>
      <c r="B98">
        <v>0.20431299999999999</v>
      </c>
    </row>
    <row r="99" spans="1:2" x14ac:dyDescent="0.25">
      <c r="A99">
        <v>96</v>
      </c>
      <c r="B99">
        <v>0.22236900000000001</v>
      </c>
    </row>
    <row r="100" spans="1:2" x14ac:dyDescent="0.25">
      <c r="A100">
        <v>97</v>
      </c>
      <c r="B100">
        <v>0.24099499999999999</v>
      </c>
    </row>
    <row r="101" spans="1:2" x14ac:dyDescent="0.25">
      <c r="A101">
        <v>98</v>
      </c>
      <c r="B101">
        <v>0.26037399999999999</v>
      </c>
    </row>
    <row r="102" spans="1:2" x14ac:dyDescent="0.25">
      <c r="A102">
        <v>99</v>
      </c>
      <c r="B102">
        <v>0.28035599999999999</v>
      </c>
    </row>
    <row r="103" spans="1:2" x14ac:dyDescent="0.25">
      <c r="A103">
        <v>100</v>
      </c>
      <c r="B103">
        <v>0.30074800000000002</v>
      </c>
    </row>
    <row r="104" spans="1:2" x14ac:dyDescent="0.25">
      <c r="A104">
        <v>101</v>
      </c>
      <c r="B104">
        <v>0.32142300000000001</v>
      </c>
    </row>
    <row r="105" spans="1:2" x14ac:dyDescent="0.25">
      <c r="A105">
        <v>102</v>
      </c>
      <c r="B105">
        <v>0.342055</v>
      </c>
    </row>
    <row r="106" spans="1:2" x14ac:dyDescent="0.25">
      <c r="A106">
        <v>103</v>
      </c>
      <c r="B106">
        <v>0.36250300000000002</v>
      </c>
    </row>
    <row r="107" spans="1:2" x14ac:dyDescent="0.25">
      <c r="A107">
        <v>104</v>
      </c>
      <c r="B107">
        <v>0.38240299999999999</v>
      </c>
    </row>
    <row r="108" spans="1:2" x14ac:dyDescent="0.25">
      <c r="A108">
        <v>105</v>
      </c>
      <c r="B108">
        <v>0.40157500000000002</v>
      </c>
    </row>
    <row r="109" spans="1:2" x14ac:dyDescent="0.25">
      <c r="A109">
        <v>106</v>
      </c>
      <c r="B109">
        <v>0.420207</v>
      </c>
    </row>
    <row r="110" spans="1:2" x14ac:dyDescent="0.25">
      <c r="A110">
        <v>107</v>
      </c>
      <c r="B110">
        <v>0.43774200000000002</v>
      </c>
    </row>
    <row r="111" spans="1:2" x14ac:dyDescent="0.25">
      <c r="A111">
        <v>108</v>
      </c>
      <c r="B111">
        <v>0.45435399999999998</v>
      </c>
    </row>
    <row r="112" spans="1:2" x14ac:dyDescent="0.25">
      <c r="A112">
        <v>109</v>
      </c>
      <c r="B112">
        <v>0.46987899999999999</v>
      </c>
    </row>
    <row r="113" spans="1:2" x14ac:dyDescent="0.25">
      <c r="A113">
        <v>110</v>
      </c>
      <c r="B113">
        <v>0.48440100000000003</v>
      </c>
    </row>
    <row r="114" spans="1:2" x14ac:dyDescent="0.25">
      <c r="A114">
        <v>111</v>
      </c>
      <c r="B114">
        <v>0.49402499999999999</v>
      </c>
    </row>
    <row r="115" spans="1:2" x14ac:dyDescent="0.25">
      <c r="A115">
        <v>112</v>
      </c>
      <c r="B115">
        <v>0.50015799999999999</v>
      </c>
    </row>
    <row r="116" spans="1:2" x14ac:dyDescent="0.25">
      <c r="A116">
        <v>113</v>
      </c>
      <c r="B116">
        <v>0.50243700000000002</v>
      </c>
    </row>
    <row r="117" spans="1:2" x14ac:dyDescent="0.25">
      <c r="A117">
        <v>114</v>
      </c>
      <c r="B117">
        <v>0.50110299999999997</v>
      </c>
    </row>
    <row r="118" spans="1:2" x14ac:dyDescent="0.25">
      <c r="A118">
        <v>115</v>
      </c>
      <c r="B118">
        <v>0.5</v>
      </c>
    </row>
    <row r="119" spans="1:2" x14ac:dyDescent="0.25">
      <c r="A119">
        <v>116</v>
      </c>
      <c r="B119">
        <v>0.5</v>
      </c>
    </row>
    <row r="120" spans="1:2" x14ac:dyDescent="0.25">
      <c r="A120">
        <v>117</v>
      </c>
      <c r="B120">
        <v>0.5</v>
      </c>
    </row>
    <row r="121" spans="1:2" x14ac:dyDescent="0.25">
      <c r="A121">
        <v>118</v>
      </c>
      <c r="B121">
        <v>0.5</v>
      </c>
    </row>
    <row r="122" spans="1:2" x14ac:dyDescent="0.25">
      <c r="A122">
        <v>119</v>
      </c>
      <c r="B122">
        <v>0.5</v>
      </c>
    </row>
    <row r="123" spans="1:2" x14ac:dyDescent="0.25">
      <c r="A123">
        <v>120</v>
      </c>
      <c r="B12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B5E2-144D-4245-9D95-A4105B92A8DE}">
  <dimension ref="A1:H13"/>
  <sheetViews>
    <sheetView workbookViewId="0">
      <selection activeCell="A17" sqref="A17"/>
    </sheetView>
  </sheetViews>
  <sheetFormatPr defaultRowHeight="15" x14ac:dyDescent="0.25"/>
  <cols>
    <col min="1" max="1" width="34.42578125" bestFit="1" customWidth="1"/>
    <col min="2" max="2" width="11.28515625" customWidth="1"/>
    <col min="3" max="3" width="16.140625" bestFit="1" customWidth="1"/>
    <col min="4" max="4" width="16.140625" customWidth="1"/>
    <col min="5" max="5" width="12.7109375" bestFit="1" customWidth="1"/>
    <col min="6" max="6" width="15" bestFit="1" customWidth="1"/>
    <col min="7" max="7" width="18.140625" bestFit="1" customWidth="1"/>
    <col min="8" max="8" width="13.140625" bestFit="1" customWidth="1"/>
  </cols>
  <sheetData>
    <row r="1" spans="1:8" x14ac:dyDescent="0.25">
      <c r="A1" t="s">
        <v>18</v>
      </c>
      <c r="B1" t="s">
        <v>16</v>
      </c>
      <c r="C1" t="s">
        <v>19</v>
      </c>
      <c r="D1" t="s">
        <v>23</v>
      </c>
      <c r="E1" t="s">
        <v>20</v>
      </c>
      <c r="F1" t="s">
        <v>21</v>
      </c>
      <c r="G1" t="s">
        <v>22</v>
      </c>
      <c r="H1" t="s">
        <v>26</v>
      </c>
    </row>
    <row r="2" spans="1:8" x14ac:dyDescent="0.25">
      <c r="A2">
        <v>1</v>
      </c>
      <c r="B2">
        <v>65</v>
      </c>
      <c r="C2" s="10">
        <f>Inputs!B3</f>
        <v>3166.67</v>
      </c>
      <c r="D2" s="10">
        <f>C2*12</f>
        <v>38000.04</v>
      </c>
      <c r="E2" s="1">
        <f>IF(B2&lt;=5,Inputs!B4,IF(B2&lt;=20,Inputs!B5,Inputs!B6))</f>
        <v>5.2499999999999998E-2</v>
      </c>
      <c r="F2">
        <f>1/(1+E2)^A2</f>
        <v>0.95011876484560576</v>
      </c>
      <c r="G2">
        <f>VLOOKUP(B2,Mortality[#All],2,FALSE)</f>
        <v>7.9430000000000004E-3</v>
      </c>
      <c r="H2" s="10">
        <f>C2*F2*G2</f>
        <v>23.898204095011877</v>
      </c>
    </row>
    <row r="3" spans="1:8" x14ac:dyDescent="0.25">
      <c r="A3" t="s">
        <v>27</v>
      </c>
      <c r="B3">
        <f>SUM(H2:H56)</f>
        <v>50.495223382422807</v>
      </c>
      <c r="C3" s="10"/>
      <c r="D3" s="10"/>
      <c r="E3" s="1"/>
    </row>
    <row r="5" spans="1:8" x14ac:dyDescent="0.25">
      <c r="A5" t="s">
        <v>18</v>
      </c>
      <c r="B5" t="s">
        <v>16</v>
      </c>
      <c r="C5" t="s">
        <v>19</v>
      </c>
      <c r="D5" t="s">
        <v>23</v>
      </c>
      <c r="E5" t="s">
        <v>20</v>
      </c>
      <c r="F5" t="s">
        <v>21</v>
      </c>
      <c r="G5" t="s">
        <v>22</v>
      </c>
      <c r="H5" t="s">
        <v>26</v>
      </c>
    </row>
    <row r="6" spans="1:8" x14ac:dyDescent="0.25">
      <c r="A6">
        <v>1</v>
      </c>
      <c r="B6">
        <v>66</v>
      </c>
      <c r="C6" s="10">
        <f>Inputs!B3</f>
        <v>3166.67</v>
      </c>
      <c r="D6" s="10">
        <f>C6*12</f>
        <v>38000.04</v>
      </c>
      <c r="E6" s="1">
        <f>IF(B2&lt;=5,Inputs!B4,IF(B2&lt;=20,Inputs!B5,Inputs!B6))</f>
        <v>5.2499999999999998E-2</v>
      </c>
      <c r="F6">
        <f>1/(1+E6)^A6</f>
        <v>0.95011876484560576</v>
      </c>
      <c r="G6">
        <f>VLOOKUP(B6,Mortality[#All],2,FALSE)</f>
        <v>8.8400000000000006E-3</v>
      </c>
      <c r="H6" s="10">
        <f>C6*F6*G6</f>
        <v>26.59701928741093</v>
      </c>
    </row>
    <row r="7" spans="1:8" x14ac:dyDescent="0.25">
      <c r="A7" t="s">
        <v>28</v>
      </c>
      <c r="B7">
        <f>SUM(H2:H56)</f>
        <v>50.495223382422807</v>
      </c>
    </row>
    <row r="12" spans="1:8" x14ac:dyDescent="0.25">
      <c r="A12" t="s">
        <v>30</v>
      </c>
      <c r="B12" t="s">
        <v>31</v>
      </c>
    </row>
    <row r="13" spans="1:8" x14ac:dyDescent="0.25">
      <c r="A13" t="s">
        <v>32</v>
      </c>
      <c r="B13" s="13">
        <v>570000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CC79-E3C3-470C-A285-CDED0596C9DC}">
  <dimension ref="A1:K22"/>
  <sheetViews>
    <sheetView tabSelected="1" workbookViewId="0">
      <selection activeCell="H3" sqref="H3:H11"/>
    </sheetView>
  </sheetViews>
  <sheetFormatPr defaultRowHeight="15" x14ac:dyDescent="0.25"/>
  <cols>
    <col min="1" max="1" width="21.7109375" style="3" bestFit="1" customWidth="1"/>
    <col min="2" max="2" width="16.140625" style="3" customWidth="1"/>
    <col min="3" max="3" width="9.85546875" style="12" bestFit="1" customWidth="1"/>
    <col min="4" max="5" width="17.85546875" customWidth="1"/>
    <col min="6" max="6" width="17.7109375" style="2" bestFit="1" customWidth="1"/>
    <col min="7" max="7" width="10.85546875" bestFit="1" customWidth="1"/>
    <col min="8" max="8" width="14.42578125" bestFit="1" customWidth="1"/>
    <col min="9" max="9" width="26.42578125" bestFit="1" customWidth="1"/>
    <col min="10" max="10" width="10.85546875" bestFit="1" customWidth="1"/>
    <col min="11" max="11" width="25" bestFit="1" customWidth="1"/>
  </cols>
  <sheetData>
    <row r="1" spans="1:11" x14ac:dyDescent="0.25">
      <c r="A1" s="14" t="s">
        <v>37</v>
      </c>
      <c r="B1" s="14" t="s">
        <v>29</v>
      </c>
      <c r="C1" s="15" t="s">
        <v>16</v>
      </c>
      <c r="D1" s="8" t="s">
        <v>38</v>
      </c>
      <c r="E1" s="8" t="s">
        <v>39</v>
      </c>
      <c r="F1" s="16" t="s">
        <v>35</v>
      </c>
      <c r="G1" s="8" t="s">
        <v>40</v>
      </c>
      <c r="H1" s="8" t="s">
        <v>41</v>
      </c>
      <c r="I1" s="8" t="s">
        <v>36</v>
      </c>
      <c r="J1" s="8" t="s">
        <v>33</v>
      </c>
      <c r="K1" s="8" t="s">
        <v>34</v>
      </c>
    </row>
    <row r="2" spans="1:11" x14ac:dyDescent="0.25">
      <c r="A2" s="17">
        <v>47269</v>
      </c>
      <c r="B2" s="17">
        <v>47270</v>
      </c>
      <c r="C2" s="21">
        <v>55</v>
      </c>
      <c r="D2" s="18">
        <v>900585.06</v>
      </c>
      <c r="E2" s="18">
        <v>892733.04</v>
      </c>
      <c r="F2" s="19"/>
      <c r="G2" s="20">
        <v>5226.71</v>
      </c>
      <c r="H2" s="20">
        <v>5200.96</v>
      </c>
      <c r="I2" s="18"/>
      <c r="J2" s="18">
        <v>62721</v>
      </c>
      <c r="K2" s="18"/>
    </row>
    <row r="3" spans="1:11" x14ac:dyDescent="0.25">
      <c r="A3" s="17">
        <v>47299</v>
      </c>
      <c r="B3" s="17">
        <v>47300</v>
      </c>
      <c r="C3" s="21">
        <v>55.082999999999998</v>
      </c>
      <c r="D3" s="18">
        <v>899709.71</v>
      </c>
      <c r="E3" s="18">
        <v>891436.6</v>
      </c>
      <c r="F3" s="19">
        <f>SUM(D3-D2)</f>
        <v>-875.35000000009313</v>
      </c>
      <c r="G3" s="20">
        <v>5227.3</v>
      </c>
      <c r="H3" s="20">
        <v>5200.96</v>
      </c>
      <c r="I3" s="18">
        <f t="shared" ref="I3:I15" si="0">SUM(G3-G2)</f>
        <v>0.59000000000014552</v>
      </c>
      <c r="J3" s="18">
        <v>62728</v>
      </c>
      <c r="K3" s="18">
        <f>SUM(J3-J2)</f>
        <v>7</v>
      </c>
    </row>
    <row r="4" spans="1:11" x14ac:dyDescent="0.25">
      <c r="A4" s="17">
        <v>47330</v>
      </c>
      <c r="B4" s="17">
        <v>47331</v>
      </c>
      <c r="C4" s="21">
        <v>55.167000000000002</v>
      </c>
      <c r="D4" s="18">
        <v>898831.11</v>
      </c>
      <c r="E4" s="18">
        <v>890075.07</v>
      </c>
      <c r="F4" s="19">
        <f t="shared" ref="F4:F22" si="1">SUM(D4-D3)</f>
        <v>-878.59999999997672</v>
      </c>
      <c r="G4" s="20">
        <v>5227.92</v>
      </c>
      <c r="H4" s="20">
        <v>5200.96</v>
      </c>
      <c r="I4" s="18">
        <f t="shared" si="0"/>
        <v>0.61999999999989086</v>
      </c>
      <c r="J4" s="18">
        <v>62735</v>
      </c>
      <c r="K4" s="18">
        <f t="shared" ref="K4:K22" si="2">SUM(J4-J3)</f>
        <v>7</v>
      </c>
    </row>
    <row r="5" spans="1:11" x14ac:dyDescent="0.25">
      <c r="A5" s="17">
        <v>47361</v>
      </c>
      <c r="B5" s="17">
        <v>47362</v>
      </c>
      <c r="C5" s="21">
        <v>55.25</v>
      </c>
      <c r="D5" s="18">
        <v>897949.22</v>
      </c>
      <c r="E5" s="18">
        <v>888713.54</v>
      </c>
      <c r="F5" s="19">
        <f t="shared" si="1"/>
        <v>-881.89000000001397</v>
      </c>
      <c r="G5" s="20">
        <v>5228.54</v>
      </c>
      <c r="H5" s="20">
        <v>5200.96</v>
      </c>
      <c r="I5" s="18">
        <f t="shared" si="0"/>
        <v>0.61999999999989086</v>
      </c>
      <c r="J5" s="18">
        <v>62742</v>
      </c>
      <c r="K5" s="18">
        <f t="shared" si="2"/>
        <v>7</v>
      </c>
    </row>
    <row r="6" spans="1:11" x14ac:dyDescent="0.25">
      <c r="A6" s="17">
        <v>47391</v>
      </c>
      <c r="B6" s="17">
        <v>47392</v>
      </c>
      <c r="C6" s="21">
        <v>55.332999999999998</v>
      </c>
      <c r="D6" s="18">
        <v>897064.05</v>
      </c>
      <c r="E6" s="18">
        <v>887400.06</v>
      </c>
      <c r="F6" s="19">
        <f t="shared" si="1"/>
        <v>-885.16999999992549</v>
      </c>
      <c r="G6" s="20">
        <v>5229.18</v>
      </c>
      <c r="H6" s="20">
        <v>5200.96</v>
      </c>
      <c r="I6" s="18">
        <f t="shared" si="0"/>
        <v>0.64000000000032742</v>
      </c>
      <c r="J6" s="18">
        <v>62750</v>
      </c>
      <c r="K6" s="18">
        <f t="shared" si="2"/>
        <v>8</v>
      </c>
    </row>
    <row r="7" spans="1:11" x14ac:dyDescent="0.25">
      <c r="A7" s="17">
        <v>47422</v>
      </c>
      <c r="B7" s="17">
        <v>47423</v>
      </c>
      <c r="C7" s="21">
        <v>55.416699999999999</v>
      </c>
      <c r="D7" s="18">
        <v>896175.57</v>
      </c>
      <c r="E7" s="18">
        <v>886038.52</v>
      </c>
      <c r="F7" s="19">
        <f t="shared" si="1"/>
        <v>-888.48000000009779</v>
      </c>
      <c r="G7" s="20">
        <v>5229.84</v>
      </c>
      <c r="H7" s="20">
        <v>5200.96</v>
      </c>
      <c r="I7" s="18">
        <f t="shared" si="0"/>
        <v>0.65999999999985448</v>
      </c>
      <c r="J7" s="18">
        <v>62758</v>
      </c>
      <c r="K7" s="18">
        <f t="shared" si="2"/>
        <v>8</v>
      </c>
    </row>
    <row r="8" spans="1:11" x14ac:dyDescent="0.25">
      <c r="A8" s="17">
        <v>47452</v>
      </c>
      <c r="B8" s="17">
        <v>47453</v>
      </c>
      <c r="C8" s="21">
        <v>55.5</v>
      </c>
      <c r="D8" s="18">
        <v>895283.77</v>
      </c>
      <c r="E8" s="18">
        <v>884725.05</v>
      </c>
      <c r="F8" s="19">
        <f t="shared" si="1"/>
        <v>-891.79999999993015</v>
      </c>
      <c r="G8" s="20">
        <v>5230.51</v>
      </c>
      <c r="H8" s="20">
        <v>5200.96</v>
      </c>
      <c r="I8" s="18">
        <f t="shared" si="0"/>
        <v>0.67000000000007276</v>
      </c>
      <c r="J8" s="18">
        <v>62766</v>
      </c>
      <c r="K8" s="18">
        <f t="shared" si="2"/>
        <v>8</v>
      </c>
    </row>
    <row r="9" spans="1:11" x14ac:dyDescent="0.25">
      <c r="A9" s="17">
        <v>47483</v>
      </c>
      <c r="B9" s="17">
        <v>47484</v>
      </c>
      <c r="C9" s="21">
        <v>55.582999999999998</v>
      </c>
      <c r="D9" s="18">
        <v>894388.63</v>
      </c>
      <c r="E9" s="18">
        <v>883363.51</v>
      </c>
      <c r="F9" s="19">
        <f t="shared" si="1"/>
        <v>-895.14000000001397</v>
      </c>
      <c r="G9" s="20">
        <v>5231.2</v>
      </c>
      <c r="H9" s="20">
        <v>5200.96</v>
      </c>
      <c r="I9" s="18">
        <f t="shared" si="0"/>
        <v>0.68999999999959982</v>
      </c>
      <c r="J9" s="18">
        <v>62774</v>
      </c>
      <c r="K9" s="18">
        <f t="shared" si="2"/>
        <v>8</v>
      </c>
    </row>
    <row r="10" spans="1:11" x14ac:dyDescent="0.25">
      <c r="A10" s="17">
        <v>47513</v>
      </c>
      <c r="B10" s="17">
        <v>47515</v>
      </c>
      <c r="C10" s="21">
        <v>55.667000000000002</v>
      </c>
      <c r="D10" s="18">
        <v>928086.35</v>
      </c>
      <c r="E10" s="18">
        <v>882001.98</v>
      </c>
      <c r="F10" s="19">
        <f t="shared" si="1"/>
        <v>33697.719999999972</v>
      </c>
      <c r="G10" s="20">
        <v>5434.48</v>
      </c>
      <c r="H10" s="20">
        <v>5200.96</v>
      </c>
      <c r="I10" s="18">
        <f t="shared" si="0"/>
        <v>203.27999999999975</v>
      </c>
      <c r="J10" s="18">
        <v>65214</v>
      </c>
      <c r="K10" s="18">
        <f t="shared" si="2"/>
        <v>2440</v>
      </c>
    </row>
    <row r="11" spans="1:11" x14ac:dyDescent="0.25">
      <c r="A11" s="17">
        <v>47542</v>
      </c>
      <c r="B11" s="17">
        <v>47543</v>
      </c>
      <c r="C11" s="21">
        <v>55.75</v>
      </c>
      <c r="D11" s="18">
        <v>927149.56</v>
      </c>
      <c r="E11" s="18">
        <v>880784.61</v>
      </c>
      <c r="F11" s="19">
        <f t="shared" si="1"/>
        <v>-936.78999999992084</v>
      </c>
      <c r="G11" s="20">
        <v>5435.23</v>
      </c>
      <c r="H11" s="20">
        <v>5200.96</v>
      </c>
      <c r="I11" s="18">
        <f t="shared" si="0"/>
        <v>0.75</v>
      </c>
      <c r="J11" s="18">
        <v>65223</v>
      </c>
      <c r="K11" s="18">
        <f t="shared" si="2"/>
        <v>9</v>
      </c>
    </row>
    <row r="12" spans="1:11" x14ac:dyDescent="0.25">
      <c r="A12" s="17">
        <v>47573</v>
      </c>
      <c r="B12" s="17">
        <v>47574</v>
      </c>
      <c r="C12" s="21">
        <v>55.833300000000001</v>
      </c>
      <c r="D12" s="18">
        <v>926209.27</v>
      </c>
      <c r="E12" s="18"/>
      <c r="F12" s="19">
        <f t="shared" si="1"/>
        <v>-940.29000000003725</v>
      </c>
      <c r="G12" s="20">
        <v>5435.99</v>
      </c>
      <c r="H12" s="20"/>
      <c r="I12" s="18">
        <f t="shared" si="0"/>
        <v>0.76000000000021828</v>
      </c>
      <c r="J12" s="18">
        <v>65232</v>
      </c>
      <c r="K12" s="18">
        <f t="shared" si="2"/>
        <v>9</v>
      </c>
    </row>
    <row r="13" spans="1:11" x14ac:dyDescent="0.25">
      <c r="A13" s="17">
        <v>47603</v>
      </c>
      <c r="B13" s="17">
        <v>47604</v>
      </c>
      <c r="C13" s="21">
        <v>55.916699999999999</v>
      </c>
      <c r="D13" s="18">
        <v>925265.44</v>
      </c>
      <c r="E13" s="18"/>
      <c r="F13" s="19">
        <f t="shared" si="1"/>
        <v>-943.83000000007451</v>
      </c>
      <c r="G13" s="20">
        <v>5436.77</v>
      </c>
      <c r="H13" s="20"/>
      <c r="I13" s="18">
        <f t="shared" si="0"/>
        <v>0.78000000000065484</v>
      </c>
      <c r="J13" s="18">
        <v>65241</v>
      </c>
      <c r="K13" s="18">
        <f t="shared" si="2"/>
        <v>9</v>
      </c>
    </row>
    <row r="14" spans="1:11" x14ac:dyDescent="0.25">
      <c r="A14" s="17">
        <v>47634</v>
      </c>
      <c r="B14" s="17">
        <v>47635</v>
      </c>
      <c r="C14" s="21">
        <v>56</v>
      </c>
      <c r="D14" s="18">
        <v>924318.07</v>
      </c>
      <c r="E14" s="18"/>
      <c r="F14" s="19">
        <f t="shared" si="1"/>
        <v>-947.36999999999534</v>
      </c>
      <c r="G14" s="20">
        <v>5437.57</v>
      </c>
      <c r="H14" s="20"/>
      <c r="I14" s="18">
        <f t="shared" si="0"/>
        <v>0.7999999999992724</v>
      </c>
      <c r="J14" s="18">
        <v>65251</v>
      </c>
      <c r="K14" s="18">
        <f t="shared" si="2"/>
        <v>10</v>
      </c>
    </row>
    <row r="15" spans="1:11" x14ac:dyDescent="0.25">
      <c r="A15" s="17">
        <v>47664</v>
      </c>
      <c r="B15" s="17">
        <v>47665</v>
      </c>
      <c r="C15" s="21">
        <v>56.083300000000001</v>
      </c>
      <c r="D15" s="18">
        <v>923380.05</v>
      </c>
      <c r="E15" s="18"/>
      <c r="F15" s="19">
        <f t="shared" si="1"/>
        <v>-938.01999999990221</v>
      </c>
      <c r="G15" s="20">
        <v>5438.26</v>
      </c>
      <c r="H15" s="20"/>
      <c r="I15" s="18">
        <f t="shared" si="0"/>
        <v>0.69000000000050932</v>
      </c>
      <c r="J15" s="18">
        <v>65259</v>
      </c>
      <c r="K15" s="18">
        <f t="shared" si="2"/>
        <v>8</v>
      </c>
    </row>
    <row r="16" spans="1:11" x14ac:dyDescent="0.25">
      <c r="A16" s="17">
        <v>47695</v>
      </c>
      <c r="B16" s="17">
        <v>47696</v>
      </c>
      <c r="C16" s="21">
        <v>56.166699999999999</v>
      </c>
      <c r="D16" s="18">
        <v>922438.56</v>
      </c>
      <c r="E16" s="18"/>
      <c r="F16" s="19">
        <f t="shared" si="1"/>
        <v>-941.48999999999069</v>
      </c>
      <c r="G16" s="20">
        <v>5438.97</v>
      </c>
      <c r="H16" s="20"/>
      <c r="I16" s="18">
        <f t="shared" ref="I16:I22" si="3">SUM(G16-G15)</f>
        <v>0.71000000000003638</v>
      </c>
      <c r="J16" s="18">
        <v>65268</v>
      </c>
      <c r="K16" s="18">
        <f t="shared" si="2"/>
        <v>9</v>
      </c>
    </row>
    <row r="17" spans="1:11" x14ac:dyDescent="0.25">
      <c r="A17" s="17">
        <v>47726</v>
      </c>
      <c r="B17" s="17">
        <v>47727</v>
      </c>
      <c r="C17" s="21">
        <v>56.25</v>
      </c>
      <c r="D17" s="18">
        <v>921493.61</v>
      </c>
      <c r="E17" s="18"/>
      <c r="F17" s="19">
        <f t="shared" si="1"/>
        <v>-944.95000000006985</v>
      </c>
      <c r="G17" s="20">
        <v>5439.7</v>
      </c>
      <c r="H17" s="20"/>
      <c r="I17" s="18">
        <f t="shared" si="3"/>
        <v>0.72999999999956344</v>
      </c>
      <c r="J17" s="18">
        <v>65276</v>
      </c>
      <c r="K17" s="18">
        <f t="shared" si="2"/>
        <v>8</v>
      </c>
    </row>
    <row r="18" spans="1:11" x14ac:dyDescent="0.25">
      <c r="A18" s="17">
        <v>47756</v>
      </c>
      <c r="B18" s="17">
        <v>47757</v>
      </c>
      <c r="C18" s="21">
        <v>56.333300000000001</v>
      </c>
      <c r="D18" s="18">
        <v>920545.16</v>
      </c>
      <c r="E18" s="18"/>
      <c r="F18" s="19">
        <f t="shared" si="1"/>
        <v>-948.44999999995343</v>
      </c>
      <c r="G18" s="20">
        <v>5440.44</v>
      </c>
      <c r="H18" s="20"/>
      <c r="I18" s="18">
        <f t="shared" si="3"/>
        <v>0.73999999999978172</v>
      </c>
      <c r="J18" s="18">
        <v>65285</v>
      </c>
      <c r="K18" s="18">
        <f t="shared" si="2"/>
        <v>9</v>
      </c>
    </row>
    <row r="19" spans="1:11" x14ac:dyDescent="0.25">
      <c r="A19" s="17">
        <v>47787</v>
      </c>
      <c r="B19" s="17">
        <v>47788</v>
      </c>
      <c r="C19" s="21">
        <v>56.416699999999999</v>
      </c>
      <c r="D19" s="18">
        <v>919593.21</v>
      </c>
      <c r="E19" s="18"/>
      <c r="F19" s="19">
        <f t="shared" si="1"/>
        <v>-951.95000000006985</v>
      </c>
      <c r="G19" s="20">
        <v>5441.2</v>
      </c>
      <c r="H19" s="20"/>
      <c r="I19" s="18">
        <f t="shared" si="3"/>
        <v>0.76000000000021828</v>
      </c>
      <c r="J19" s="18">
        <v>65294</v>
      </c>
      <c r="K19" s="18">
        <f t="shared" si="2"/>
        <v>9</v>
      </c>
    </row>
    <row r="20" spans="1:11" x14ac:dyDescent="0.25">
      <c r="A20" s="17">
        <v>47817</v>
      </c>
      <c r="B20" s="17">
        <v>47818</v>
      </c>
      <c r="C20" s="21">
        <v>56.5</v>
      </c>
      <c r="D20" s="18">
        <v>918637.73</v>
      </c>
      <c r="E20" s="18"/>
      <c r="F20" s="19">
        <f t="shared" si="1"/>
        <v>-955.47999999998137</v>
      </c>
      <c r="G20" s="20">
        <v>5441.98</v>
      </c>
      <c r="H20" s="20"/>
      <c r="I20" s="18">
        <f t="shared" si="3"/>
        <v>0.77999999999974534</v>
      </c>
      <c r="J20" s="18">
        <v>65304</v>
      </c>
      <c r="K20" s="18">
        <f t="shared" si="2"/>
        <v>10</v>
      </c>
    </row>
    <row r="21" spans="1:11" x14ac:dyDescent="0.25">
      <c r="A21" s="17">
        <v>47848</v>
      </c>
      <c r="B21" s="17">
        <v>47849</v>
      </c>
      <c r="C21" s="21">
        <v>56.583300000000001</v>
      </c>
      <c r="D21" s="18">
        <v>917678.72</v>
      </c>
      <c r="E21" s="18"/>
      <c r="F21" s="19">
        <f t="shared" si="1"/>
        <v>-959.01000000000931</v>
      </c>
      <c r="G21" s="20">
        <v>5442.78</v>
      </c>
      <c r="H21" s="20"/>
      <c r="I21" s="18">
        <f t="shared" si="3"/>
        <v>0.8000000000001819</v>
      </c>
      <c r="J21" s="18">
        <v>65313</v>
      </c>
      <c r="K21" s="18">
        <f t="shared" si="2"/>
        <v>9</v>
      </c>
    </row>
    <row r="22" spans="1:11" x14ac:dyDescent="0.25">
      <c r="A22" s="17">
        <v>47879</v>
      </c>
      <c r="B22" s="17">
        <v>47880</v>
      </c>
      <c r="C22" s="21">
        <v>56.666699999999999</v>
      </c>
      <c r="D22" s="18">
        <v>950886.81</v>
      </c>
      <c r="E22" s="18"/>
      <c r="F22" s="19">
        <f t="shared" si="1"/>
        <v>33208.090000000084</v>
      </c>
      <c r="G22" s="20">
        <v>5646.51</v>
      </c>
      <c r="H22" s="20"/>
      <c r="I22" s="18">
        <f t="shared" si="3"/>
        <v>203.73000000000047</v>
      </c>
      <c r="J22" s="18">
        <v>67758</v>
      </c>
      <c r="K22" s="18">
        <f t="shared" si="2"/>
        <v>2445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Motality Table</vt:lpstr>
      <vt:lpstr>Lump Sum Calculation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Harvey</dc:creator>
  <cp:lastModifiedBy>Thomas Harvey</cp:lastModifiedBy>
  <dcterms:created xsi:type="dcterms:W3CDTF">2025-10-28T15:18:40Z</dcterms:created>
  <dcterms:modified xsi:type="dcterms:W3CDTF">2025-10-30T15:38:52Z</dcterms:modified>
</cp:coreProperties>
</file>