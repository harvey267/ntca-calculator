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sidian Vault\SRT\Retirement\NTCA Calculations\"/>
    </mc:Choice>
  </mc:AlternateContent>
  <xr:revisionPtr revIDLastSave="0" documentId="13_ncr:1_{DC6901FC-E58B-4CDC-8CF8-8FD1552C374F}" xr6:coauthVersionLast="47" xr6:coauthVersionMax="47" xr10:uidLastSave="{00000000-0000-0000-0000-000000000000}"/>
  <bookViews>
    <workbookView xWindow="28680" yWindow="-120" windowWidth="29040" windowHeight="15720" xr2:uid="{5742AE21-0BC2-4D95-9F73-827CD0069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M2" i="1"/>
  <c r="K3" i="1"/>
  <c r="M3" i="1"/>
  <c r="K4" i="1"/>
  <c r="M4" i="1"/>
  <c r="K5" i="1"/>
  <c r="M5" i="1"/>
  <c r="K6" i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I22" i="1"/>
  <c r="G22" i="1"/>
  <c r="D22" i="1"/>
  <c r="I21" i="1"/>
  <c r="G21" i="1"/>
  <c r="D21" i="1"/>
  <c r="I20" i="1"/>
  <c r="G20" i="1"/>
  <c r="D20" i="1"/>
  <c r="I19" i="1"/>
  <c r="G19" i="1"/>
  <c r="D19" i="1"/>
  <c r="I18" i="1"/>
  <c r="G18" i="1"/>
  <c r="D18" i="1"/>
  <c r="I17" i="1"/>
  <c r="G17" i="1"/>
  <c r="D17" i="1"/>
  <c r="I16" i="1"/>
  <c r="G16" i="1"/>
  <c r="D16" i="1"/>
  <c r="I15" i="1"/>
  <c r="G15" i="1"/>
  <c r="D15" i="1"/>
  <c r="I14" i="1"/>
  <c r="G14" i="1"/>
  <c r="D14" i="1"/>
  <c r="I13" i="1"/>
  <c r="G13" i="1"/>
  <c r="D13" i="1"/>
  <c r="I12" i="1"/>
  <c r="G12" i="1"/>
  <c r="D12" i="1"/>
  <c r="I11" i="1"/>
  <c r="G11" i="1"/>
  <c r="D11" i="1"/>
  <c r="I10" i="1"/>
  <c r="G10" i="1"/>
  <c r="D10" i="1"/>
  <c r="I9" i="1"/>
  <c r="G9" i="1"/>
  <c r="D9" i="1"/>
  <c r="I8" i="1"/>
  <c r="G8" i="1"/>
  <c r="D8" i="1"/>
  <c r="I7" i="1"/>
  <c r="G7" i="1"/>
  <c r="D7" i="1"/>
  <c r="I6" i="1"/>
  <c r="G6" i="1"/>
  <c r="D6" i="1"/>
  <c r="I5" i="1"/>
  <c r="G5" i="1"/>
  <c r="D5" i="1"/>
  <c r="I4" i="1"/>
  <c r="G4" i="1"/>
  <c r="D4" i="1"/>
  <c r="I3" i="1"/>
  <c r="G3" i="1"/>
  <c r="D3" i="1"/>
</calcChain>
</file>

<file path=xl/sharedStrings.xml><?xml version="1.0" encoding="utf-8"?>
<sst xmlns="http://schemas.openxmlformats.org/spreadsheetml/2006/main" count="13" uniqueCount="12">
  <si>
    <t>Retirement Date</t>
  </si>
  <si>
    <t>Age</t>
  </si>
  <si>
    <t>NTCA Lump Sum</t>
  </si>
  <si>
    <t>My Cal Lump</t>
  </si>
  <si>
    <t>Δ from Prior Month Lump</t>
  </si>
  <si>
    <t>NTCA Annuity</t>
  </si>
  <si>
    <t>My Cal Annuity</t>
  </si>
  <si>
    <t xml:space="preserve">Δ from Prior Month Monthly </t>
  </si>
  <si>
    <t>Yearly</t>
  </si>
  <si>
    <t xml:space="preserve">Δ from Prior Month Annual </t>
  </si>
  <si>
    <t>% Different</t>
  </si>
  <si>
    <t>Δ from NTCA My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</si>
</sst>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0.000"/>
    <numFmt numFmtId="165" formatCode="0.0000"/>
    <numFmt numFmtId="166" formatCode="&quot;$&quot;#,##0.00;[Red]&quot;$&quot;#,##0.00"/>
    <numFmt numFmtId="167" formatCode="&quot;$&quot;#,##0.00"/>
    <numFmt numFmtId="168" formatCode="0.0000%"/>
    <numFmt numFmtId="169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5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8" fontId="1" fillId="0" borderId="0" xfId="0" applyNumberFormat="1" applyFont="1"/>
    <xf numFmtId="168" fontId="0" fillId="0" borderId="1" xfId="0" applyNumberFormat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169" fontId="1" fillId="0" borderId="0" xfId="0" applyNumberFormat="1" applyFont="1"/>
    <xf numFmtId="169" fontId="0" fillId="0" borderId="1" xfId="0" applyNumberFormat="1" applyBorder="1" applyAlignment="1">
      <alignment horizontal="center"/>
    </xf>
    <xf numFmtId="169" fontId="0" fillId="0" borderId="0" xfId="0" applyNumberFormat="1"/>
    <xf numFmtId="169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F3B3-0CF9-42A3-B021-FD20CED3E27A}">
  <dimension ref="A1:M22"/>
  <sheetViews>
    <sheetView tabSelected="1" workbookViewId="0">
      <selection activeCell="J1" sqref="J1:M1048576"/>
    </sheetView>
  </sheetViews>
  <sheetFormatPr defaultRowHeight="15" x14ac:dyDescent="0.25"/>
  <cols>
    <col min="1" max="1" width="16.140625" style="14" bestFit="1" customWidth="1"/>
    <col min="2" max="2" width="7.5703125" bestFit="1" customWidth="1"/>
    <col min="3" max="3" width="16" bestFit="1" customWidth="1"/>
    <col min="4" max="4" width="23.5703125" bestFit="1" customWidth="1"/>
    <col min="5" max="5" width="13.42578125" bestFit="1" customWidth="1"/>
    <col min="6" max="6" width="26.42578125" customWidth="1"/>
    <col min="7" max="7" width="26.42578125" bestFit="1" customWidth="1"/>
    <col min="8" max="8" width="10.85546875" bestFit="1" customWidth="1"/>
    <col min="9" max="9" width="25.140625" bestFit="1" customWidth="1"/>
    <col min="10" max="10" width="14.42578125" bestFit="1" customWidth="1"/>
    <col min="11" max="11" width="14.42578125" customWidth="1"/>
    <col min="12" max="12" width="12.42578125" bestFit="1" customWidth="1"/>
    <col min="13" max="13" width="19" bestFit="1" customWidth="1"/>
  </cols>
  <sheetData>
    <row r="1" spans="1:13" x14ac:dyDescent="0.25">
      <c r="A1" s="12" t="s">
        <v>0</v>
      </c>
      <c r="B1" s="1" t="s">
        <v>1</v>
      </c>
      <c r="C1" s="2" t="s">
        <v>2</v>
      </c>
      <c r="D1" s="3" t="s">
        <v>4</v>
      </c>
      <c r="E1" s="2" t="s">
        <v>5</v>
      </c>
      <c r="F1" s="9" t="s">
        <v>10</v>
      </c>
      <c r="G1" s="2" t="s">
        <v>7</v>
      </c>
      <c r="H1" s="2" t="s">
        <v>8</v>
      </c>
      <c r="I1" s="2" t="s">
        <v>9</v>
      </c>
      <c r="J1" s="2" t="s">
        <v>6</v>
      </c>
      <c r="K1" s="2" t="s">
        <v>11</v>
      </c>
      <c r="L1" s="2" t="s">
        <v>3</v>
      </c>
      <c r="M1" s="2" t="s">
        <v>11</v>
      </c>
    </row>
    <row r="2" spans="1:13" x14ac:dyDescent="0.25">
      <c r="A2" s="13">
        <v>47270</v>
      </c>
      <c r="B2" s="4">
        <v>55</v>
      </c>
      <c r="C2" s="5">
        <v>900585.06</v>
      </c>
      <c r="D2" s="6"/>
      <c r="E2" s="7">
        <v>5226.71</v>
      </c>
      <c r="F2" s="10"/>
      <c r="G2" s="5"/>
      <c r="H2" s="5">
        <v>62721</v>
      </c>
      <c r="I2" s="5"/>
      <c r="J2" s="7">
        <v>5226.7299999999996</v>
      </c>
      <c r="K2" s="8">
        <f>(J2-E2)/(E2)</f>
        <v>3.826498887354964E-6</v>
      </c>
      <c r="L2" s="5">
        <v>900585.06</v>
      </c>
      <c r="M2" s="8">
        <f t="shared" ref="M2:M22" si="0">(L2-C2)/(C2)</f>
        <v>0</v>
      </c>
    </row>
    <row r="3" spans="1:13" x14ac:dyDescent="0.25">
      <c r="A3" s="13">
        <v>47300</v>
      </c>
      <c r="B3" s="4">
        <v>55.082999999999998</v>
      </c>
      <c r="C3" s="5">
        <v>899709.71</v>
      </c>
      <c r="D3" s="6">
        <f t="shared" ref="D3:D22" si="1">SUM(C3-C2)</f>
        <v>-875.35000000009313</v>
      </c>
      <c r="E3" s="7">
        <v>5227.3</v>
      </c>
      <c r="F3" s="10">
        <f t="shared" ref="F3:F22" si="2">(E3-E2)/(E2)</f>
        <v>1.1288171717966858E-4</v>
      </c>
      <c r="G3" s="5">
        <f t="shared" ref="G3:G22" si="3">SUM(E3-E2)</f>
        <v>0.59000000000014552</v>
      </c>
      <c r="H3" s="5">
        <v>62728</v>
      </c>
      <c r="I3" s="5">
        <f t="shared" ref="I3:I22" si="4">SUM(H3-H2)</f>
        <v>7</v>
      </c>
      <c r="J3" s="7">
        <v>5227.32</v>
      </c>
      <c r="K3" s="8">
        <f t="shared" ref="K3:K22" si="5">(J3-E3)/(E3)</f>
        <v>3.8260669943425977E-6</v>
      </c>
      <c r="L3" s="5">
        <v>899344.96</v>
      </c>
      <c r="M3" s="8">
        <f t="shared" si="0"/>
        <v>-4.0540854005010127E-4</v>
      </c>
    </row>
    <row r="4" spans="1:13" x14ac:dyDescent="0.25">
      <c r="A4" s="13">
        <v>47331</v>
      </c>
      <c r="B4" s="4">
        <v>55.167000000000002</v>
      </c>
      <c r="C4" s="5">
        <v>898831.11</v>
      </c>
      <c r="D4" s="6">
        <f t="shared" si="1"/>
        <v>-878.59999999997672</v>
      </c>
      <c r="E4" s="7">
        <v>5227.92</v>
      </c>
      <c r="F4" s="10">
        <f t="shared" si="2"/>
        <v>1.1860807682740437E-4</v>
      </c>
      <c r="G4" s="5">
        <f t="shared" si="3"/>
        <v>0.61999999999989086</v>
      </c>
      <c r="H4" s="5">
        <v>62735</v>
      </c>
      <c r="I4" s="5">
        <f t="shared" si="4"/>
        <v>7</v>
      </c>
      <c r="J4" s="7">
        <v>5227.91</v>
      </c>
      <c r="K4" s="8">
        <f t="shared" si="5"/>
        <v>-1.9128066229434035E-6</v>
      </c>
      <c r="L4" s="5">
        <v>898104.56</v>
      </c>
      <c r="M4" s="8">
        <f t="shared" si="0"/>
        <v>-8.0832760672906636E-4</v>
      </c>
    </row>
    <row r="5" spans="1:13" x14ac:dyDescent="0.25">
      <c r="A5" s="13">
        <v>47362</v>
      </c>
      <c r="B5" s="4">
        <v>55.25</v>
      </c>
      <c r="C5" s="5">
        <v>897949.22</v>
      </c>
      <c r="D5" s="6">
        <f t="shared" si="1"/>
        <v>-881.89000000001397</v>
      </c>
      <c r="E5" s="7">
        <v>5228.54</v>
      </c>
      <c r="F5" s="10">
        <f t="shared" si="2"/>
        <v>1.1859401061988149E-4</v>
      </c>
      <c r="G5" s="5">
        <f t="shared" si="3"/>
        <v>0.61999999999989086</v>
      </c>
      <c r="H5" s="5">
        <v>62742</v>
      </c>
      <c r="I5" s="5">
        <f t="shared" si="4"/>
        <v>7</v>
      </c>
      <c r="J5" s="7">
        <v>5228.5</v>
      </c>
      <c r="K5" s="8">
        <f t="shared" si="5"/>
        <v>-7.6503192095620622E-6</v>
      </c>
      <c r="L5" s="5">
        <v>896863.87</v>
      </c>
      <c r="M5" s="8">
        <f t="shared" si="0"/>
        <v>-1.2086986388829166E-3</v>
      </c>
    </row>
    <row r="6" spans="1:13" x14ac:dyDescent="0.25">
      <c r="A6" s="13">
        <v>47392</v>
      </c>
      <c r="B6" s="4">
        <v>55.332999999999998</v>
      </c>
      <c r="C6" s="5">
        <v>897064.05</v>
      </c>
      <c r="D6" s="6">
        <f t="shared" si="1"/>
        <v>-885.16999999992549</v>
      </c>
      <c r="E6" s="7">
        <v>5229.18</v>
      </c>
      <c r="F6" s="10">
        <f t="shared" si="2"/>
        <v>1.2240510735316693E-4</v>
      </c>
      <c r="G6" s="5">
        <f t="shared" si="3"/>
        <v>0.64000000000032742</v>
      </c>
      <c r="H6" s="5">
        <v>62750</v>
      </c>
      <c r="I6" s="5">
        <f t="shared" si="4"/>
        <v>8</v>
      </c>
      <c r="J6" s="7">
        <v>5229.1000000000004</v>
      </c>
      <c r="K6" s="8">
        <f t="shared" si="5"/>
        <v>-1.5298765772057424E-5</v>
      </c>
      <c r="L6" s="5">
        <v>895622.89</v>
      </c>
      <c r="M6" s="8">
        <f t="shared" si="0"/>
        <v>-1.606529656382989E-3</v>
      </c>
    </row>
    <row r="7" spans="1:13" x14ac:dyDescent="0.25">
      <c r="A7" s="13">
        <v>47423</v>
      </c>
      <c r="B7" s="4">
        <v>55.416699999999999</v>
      </c>
      <c r="C7" s="5">
        <v>896175.57</v>
      </c>
      <c r="D7" s="6">
        <f t="shared" si="1"/>
        <v>-888.48000000009779</v>
      </c>
      <c r="E7" s="7">
        <v>5229.84</v>
      </c>
      <c r="F7" s="10">
        <f t="shared" si="2"/>
        <v>1.2621481761956071E-4</v>
      </c>
      <c r="G7" s="5">
        <f t="shared" si="3"/>
        <v>0.65999999999985448</v>
      </c>
      <c r="H7" s="5">
        <v>62758</v>
      </c>
      <c r="I7" s="5">
        <f t="shared" si="4"/>
        <v>8</v>
      </c>
      <c r="J7" s="7">
        <v>5229.6899999999996</v>
      </c>
      <c r="K7" s="8">
        <f t="shared" si="5"/>
        <v>-2.8681565784143625E-5</v>
      </c>
      <c r="L7" s="5">
        <v>894381.62</v>
      </c>
      <c r="M7" s="8">
        <f t="shared" si="0"/>
        <v>-2.0017840923737228E-3</v>
      </c>
    </row>
    <row r="8" spans="1:13" x14ac:dyDescent="0.25">
      <c r="A8" s="13">
        <v>47453</v>
      </c>
      <c r="B8" s="4">
        <v>55.5</v>
      </c>
      <c r="C8" s="5">
        <v>895283.77</v>
      </c>
      <c r="D8" s="6">
        <f t="shared" si="1"/>
        <v>-891.79999999993015</v>
      </c>
      <c r="E8" s="7">
        <v>5230.51</v>
      </c>
      <c r="F8" s="10">
        <f t="shared" si="2"/>
        <v>1.2811099383538938E-4</v>
      </c>
      <c r="G8" s="5">
        <f t="shared" si="3"/>
        <v>0.67000000000007276</v>
      </c>
      <c r="H8" s="5">
        <v>62766</v>
      </c>
      <c r="I8" s="5">
        <f t="shared" si="4"/>
        <v>8</v>
      </c>
      <c r="J8" s="7">
        <v>5230.28</v>
      </c>
      <c r="K8" s="8">
        <f t="shared" si="5"/>
        <v>-4.3972767474007874E-5</v>
      </c>
      <c r="L8" s="5">
        <v>893140.05</v>
      </c>
      <c r="M8" s="8">
        <f t="shared" si="0"/>
        <v>-2.3944586865457997E-3</v>
      </c>
    </row>
    <row r="9" spans="1:13" x14ac:dyDescent="0.25">
      <c r="A9" s="15">
        <v>47484</v>
      </c>
      <c r="B9" s="16">
        <v>55.582999999999998</v>
      </c>
      <c r="C9" s="11">
        <v>894388.63</v>
      </c>
      <c r="D9" s="17">
        <f t="shared" si="1"/>
        <v>-895.14000000001397</v>
      </c>
      <c r="E9" s="18">
        <v>5231.2</v>
      </c>
      <c r="F9" s="19">
        <f t="shared" si="2"/>
        <v>1.3191830242167586E-4</v>
      </c>
      <c r="G9" s="11">
        <f t="shared" si="3"/>
        <v>0.68999999999959982</v>
      </c>
      <c r="H9" s="11">
        <v>62774</v>
      </c>
      <c r="I9" s="11">
        <f t="shared" si="4"/>
        <v>8</v>
      </c>
      <c r="J9" s="18">
        <v>5230.87</v>
      </c>
      <c r="K9" s="8">
        <f t="shared" si="5"/>
        <v>-6.3083040220203259E-5</v>
      </c>
      <c r="L9" s="11">
        <v>891898.19</v>
      </c>
      <c r="M9" s="20">
        <f t="shared" si="0"/>
        <v>-2.7845166144386925E-3</v>
      </c>
    </row>
    <row r="10" spans="1:13" x14ac:dyDescent="0.25">
      <c r="A10" s="13">
        <v>47515</v>
      </c>
      <c r="B10" s="4">
        <v>55.667000000000002</v>
      </c>
      <c r="C10" s="5">
        <v>928086.35</v>
      </c>
      <c r="D10" s="6">
        <f t="shared" si="1"/>
        <v>33697.719999999972</v>
      </c>
      <c r="E10" s="7">
        <v>5434.48</v>
      </c>
      <c r="F10" s="10">
        <f t="shared" si="2"/>
        <v>3.8859152775653723E-2</v>
      </c>
      <c r="G10" s="5">
        <f t="shared" si="3"/>
        <v>203.27999999999975</v>
      </c>
      <c r="H10" s="5">
        <v>65214</v>
      </c>
      <c r="I10" s="5">
        <f t="shared" si="4"/>
        <v>2440</v>
      </c>
      <c r="J10" s="7">
        <v>5431.68</v>
      </c>
      <c r="K10" s="8">
        <f t="shared" si="5"/>
        <v>-5.1522868793321024E-4</v>
      </c>
      <c r="L10" s="5">
        <v>924743.18</v>
      </c>
      <c r="M10" s="8">
        <f t="shared" si="0"/>
        <v>-3.6022186944134299E-3</v>
      </c>
    </row>
    <row r="11" spans="1:13" x14ac:dyDescent="0.25">
      <c r="A11" s="13">
        <v>47543</v>
      </c>
      <c r="B11" s="4">
        <v>55.75</v>
      </c>
      <c r="C11" s="5">
        <v>927149.56</v>
      </c>
      <c r="D11" s="6">
        <f t="shared" si="1"/>
        <v>-936.78999999992084</v>
      </c>
      <c r="E11" s="7">
        <v>5435.23</v>
      </c>
      <c r="F11" s="10">
        <f t="shared" si="2"/>
        <v>1.3800768426786003E-4</v>
      </c>
      <c r="G11" s="5">
        <f t="shared" si="3"/>
        <v>0.75</v>
      </c>
      <c r="H11" s="5">
        <v>65223</v>
      </c>
      <c r="I11" s="5">
        <f t="shared" si="4"/>
        <v>9</v>
      </c>
      <c r="J11" s="7">
        <v>5432.3</v>
      </c>
      <c r="K11" s="8">
        <f t="shared" si="5"/>
        <v>-5.3907562329457662E-4</v>
      </c>
      <c r="L11" s="5">
        <v>923453.18</v>
      </c>
      <c r="M11" s="8">
        <f t="shared" si="0"/>
        <v>-3.9868217162288295E-3</v>
      </c>
    </row>
    <row r="12" spans="1:13" x14ac:dyDescent="0.25">
      <c r="A12" s="13">
        <v>47574</v>
      </c>
      <c r="B12" s="4">
        <v>55.833300000000001</v>
      </c>
      <c r="C12" s="5">
        <v>926209.27</v>
      </c>
      <c r="D12" s="6">
        <f t="shared" si="1"/>
        <v>-940.29000000003725</v>
      </c>
      <c r="E12" s="7">
        <v>5435.99</v>
      </c>
      <c r="F12" s="10">
        <f t="shared" si="2"/>
        <v>1.3982848931879944E-4</v>
      </c>
      <c r="G12" s="5">
        <f t="shared" si="3"/>
        <v>0.76000000000021828</v>
      </c>
      <c r="H12" s="5">
        <v>65232</v>
      </c>
      <c r="I12" s="5">
        <f t="shared" si="4"/>
        <v>9</v>
      </c>
      <c r="J12" s="7">
        <v>5432.92</v>
      </c>
      <c r="K12" s="8">
        <f t="shared" si="5"/>
        <v>-5.647545341326436E-4</v>
      </c>
      <c r="L12" s="5">
        <v>922162.88</v>
      </c>
      <c r="M12" s="8">
        <f t="shared" si="0"/>
        <v>-4.3687643074442712E-3</v>
      </c>
    </row>
    <row r="13" spans="1:13" x14ac:dyDescent="0.25">
      <c r="A13" s="13">
        <v>47604</v>
      </c>
      <c r="B13" s="4">
        <v>55.916699999999999</v>
      </c>
      <c r="C13" s="5">
        <v>925265.44</v>
      </c>
      <c r="D13" s="6">
        <f t="shared" si="1"/>
        <v>-943.83000000007451</v>
      </c>
      <c r="E13" s="7">
        <v>5436.77</v>
      </c>
      <c r="F13" s="10">
        <f t="shared" si="2"/>
        <v>1.4348812267878618E-4</v>
      </c>
      <c r="G13" s="5">
        <f t="shared" si="3"/>
        <v>0.78000000000065484</v>
      </c>
      <c r="H13" s="5">
        <v>65241</v>
      </c>
      <c r="I13" s="5">
        <f t="shared" si="4"/>
        <v>9</v>
      </c>
      <c r="J13" s="7">
        <v>5433.53</v>
      </c>
      <c r="K13" s="8">
        <f t="shared" si="5"/>
        <v>-5.9594207590181133E-4</v>
      </c>
      <c r="L13" s="5">
        <v>920872.28</v>
      </c>
      <c r="M13" s="8">
        <f t="shared" si="0"/>
        <v>-4.7479996659119967E-3</v>
      </c>
    </row>
    <row r="14" spans="1:13" x14ac:dyDescent="0.25">
      <c r="A14" s="13">
        <v>47635</v>
      </c>
      <c r="B14" s="4">
        <v>56</v>
      </c>
      <c r="C14" s="5">
        <v>924318.07</v>
      </c>
      <c r="D14" s="6">
        <f t="shared" si="1"/>
        <v>-947.36999999999534</v>
      </c>
      <c r="E14" s="7">
        <v>5437.57</v>
      </c>
      <c r="F14" s="10">
        <f t="shared" si="2"/>
        <v>1.4714619158052894E-4</v>
      </c>
      <c r="G14" s="5">
        <f t="shared" si="3"/>
        <v>0.7999999999992724</v>
      </c>
      <c r="H14" s="5">
        <v>65251</v>
      </c>
      <c r="I14" s="5">
        <f t="shared" si="4"/>
        <v>10</v>
      </c>
      <c r="J14" s="7">
        <v>5434.15</v>
      </c>
      <c r="K14" s="8">
        <f t="shared" si="5"/>
        <v>-6.2895742031828059E-4</v>
      </c>
      <c r="L14" s="5">
        <v>919581.37</v>
      </c>
      <c r="M14" s="20">
        <f t="shared" si="0"/>
        <v>-5.1245346745195123E-3</v>
      </c>
    </row>
    <row r="15" spans="1:13" x14ac:dyDescent="0.25">
      <c r="A15" s="13">
        <v>47665</v>
      </c>
      <c r="B15" s="4">
        <v>56.083300000000001</v>
      </c>
      <c r="C15" s="5">
        <v>923380.05</v>
      </c>
      <c r="D15" s="6">
        <f t="shared" si="1"/>
        <v>-938.01999999990221</v>
      </c>
      <c r="E15" s="7">
        <v>5438.26</v>
      </c>
      <c r="F15" s="10">
        <f t="shared" si="2"/>
        <v>1.2689491813448091E-4</v>
      </c>
      <c r="G15" s="5">
        <f t="shared" si="3"/>
        <v>0.69000000000050932</v>
      </c>
      <c r="H15" s="5">
        <v>65259</v>
      </c>
      <c r="I15" s="5">
        <f t="shared" si="4"/>
        <v>8</v>
      </c>
      <c r="J15" s="7">
        <v>5434.76</v>
      </c>
      <c r="K15" s="8">
        <f t="shared" si="5"/>
        <v>-6.4358820652193893E-4</v>
      </c>
      <c r="L15" s="5">
        <v>918226.55</v>
      </c>
      <c r="M15" s="20">
        <f t="shared" si="0"/>
        <v>-5.5811255614630177E-3</v>
      </c>
    </row>
    <row r="16" spans="1:13" x14ac:dyDescent="0.25">
      <c r="A16" s="13">
        <v>47696</v>
      </c>
      <c r="B16" s="4">
        <v>56.166699999999999</v>
      </c>
      <c r="C16" s="5">
        <v>922438.56</v>
      </c>
      <c r="D16" s="6">
        <f t="shared" si="1"/>
        <v>-941.48999999999069</v>
      </c>
      <c r="E16" s="7">
        <v>5438.97</v>
      </c>
      <c r="F16" s="10">
        <f t="shared" si="2"/>
        <v>1.3055646475160001E-4</v>
      </c>
      <c r="G16" s="5">
        <f t="shared" si="3"/>
        <v>0.71000000000003638</v>
      </c>
      <c r="H16" s="5">
        <v>65268</v>
      </c>
      <c r="I16" s="5">
        <f t="shared" si="4"/>
        <v>9</v>
      </c>
      <c r="J16" s="7">
        <v>5435.38</v>
      </c>
      <c r="K16" s="8">
        <f t="shared" si="5"/>
        <v>-6.6005144356378969E-4</v>
      </c>
      <c r="L16" s="5">
        <v>916871.4</v>
      </c>
      <c r="M16" s="20">
        <f t="shared" si="0"/>
        <v>-6.0352637469969078E-3</v>
      </c>
    </row>
    <row r="17" spans="1:13" x14ac:dyDescent="0.25">
      <c r="A17" s="13">
        <v>47727</v>
      </c>
      <c r="B17" s="4">
        <v>56.25</v>
      </c>
      <c r="C17" s="5">
        <v>921493.61</v>
      </c>
      <c r="D17" s="6">
        <f t="shared" si="1"/>
        <v>-944.95000000006985</v>
      </c>
      <c r="E17" s="7">
        <v>5439.7</v>
      </c>
      <c r="F17" s="10">
        <f t="shared" si="2"/>
        <v>1.3421658880257906E-4</v>
      </c>
      <c r="G17" s="5">
        <f t="shared" si="3"/>
        <v>0.72999999999956344</v>
      </c>
      <c r="H17" s="5">
        <v>65276</v>
      </c>
      <c r="I17" s="5">
        <f t="shared" si="4"/>
        <v>8</v>
      </c>
      <c r="J17" s="7">
        <v>5435.99</v>
      </c>
      <c r="K17" s="8">
        <f t="shared" si="5"/>
        <v>-6.8202290567495204E-4</v>
      </c>
      <c r="L17" s="5">
        <v>915515.94</v>
      </c>
      <c r="M17" s="20">
        <f t="shared" si="0"/>
        <v>-6.4869359213462607E-3</v>
      </c>
    </row>
    <row r="18" spans="1:13" x14ac:dyDescent="0.25">
      <c r="A18" s="13">
        <v>47757</v>
      </c>
      <c r="B18" s="4">
        <v>56.333300000000001</v>
      </c>
      <c r="C18" s="5">
        <v>920545.16</v>
      </c>
      <c r="D18" s="6">
        <f t="shared" si="1"/>
        <v>-948.44999999995343</v>
      </c>
      <c r="E18" s="7">
        <v>5440.44</v>
      </c>
      <c r="F18" s="10">
        <f t="shared" si="2"/>
        <v>1.3603691380035328E-4</v>
      </c>
      <c r="G18" s="5">
        <f t="shared" si="3"/>
        <v>0.73999999999978172</v>
      </c>
      <c r="H18" s="5">
        <v>65285</v>
      </c>
      <c r="I18" s="5">
        <f t="shared" si="4"/>
        <v>9</v>
      </c>
      <c r="J18" s="7">
        <v>5436.61</v>
      </c>
      <c r="K18" s="8">
        <f t="shared" si="5"/>
        <v>-7.0398717750768823E-4</v>
      </c>
      <c r="L18" s="5">
        <v>914160.17</v>
      </c>
      <c r="M18" s="20">
        <f t="shared" si="0"/>
        <v>-6.9360964322488974E-3</v>
      </c>
    </row>
    <row r="19" spans="1:13" x14ac:dyDescent="0.25">
      <c r="A19" s="13">
        <v>47788</v>
      </c>
      <c r="B19" s="4">
        <v>56.416699999999999</v>
      </c>
      <c r="C19" s="5">
        <v>919593.21</v>
      </c>
      <c r="D19" s="6">
        <f t="shared" si="1"/>
        <v>-951.95000000006985</v>
      </c>
      <c r="E19" s="7">
        <v>5441.2</v>
      </c>
      <c r="F19" s="10">
        <f t="shared" si="2"/>
        <v>1.3969458352637256E-4</v>
      </c>
      <c r="G19" s="5">
        <f t="shared" si="3"/>
        <v>0.76000000000021828</v>
      </c>
      <c r="H19" s="5">
        <v>65294</v>
      </c>
      <c r="I19" s="5">
        <f t="shared" si="4"/>
        <v>9</v>
      </c>
      <c r="J19" s="7">
        <v>5437.22</v>
      </c>
      <c r="K19" s="8">
        <f t="shared" si="5"/>
        <v>-7.3145629640512452E-4</v>
      </c>
      <c r="L19" s="5">
        <v>912804.07</v>
      </c>
      <c r="M19" s="20">
        <f t="shared" si="0"/>
        <v>-7.3827643855700221E-3</v>
      </c>
    </row>
    <row r="20" spans="1:13" x14ac:dyDescent="0.25">
      <c r="A20" s="13">
        <v>47818</v>
      </c>
      <c r="B20" s="4">
        <v>56.5</v>
      </c>
      <c r="C20" s="5">
        <v>918637.73</v>
      </c>
      <c r="D20" s="6">
        <f t="shared" si="1"/>
        <v>-955.47999999998137</v>
      </c>
      <c r="E20" s="7">
        <v>5441.98</v>
      </c>
      <c r="F20" s="10">
        <f t="shared" si="2"/>
        <v>1.4335073145624962E-4</v>
      </c>
      <c r="G20" s="5">
        <f t="shared" si="3"/>
        <v>0.77999999999974534</v>
      </c>
      <c r="H20" s="5">
        <v>65304</v>
      </c>
      <c r="I20" s="5">
        <f t="shared" si="4"/>
        <v>10</v>
      </c>
      <c r="J20" s="7">
        <v>5437.84</v>
      </c>
      <c r="K20" s="8">
        <f t="shared" si="5"/>
        <v>-7.6075252022231212E-4</v>
      </c>
      <c r="L20" s="5">
        <v>911447.65</v>
      </c>
      <c r="M20" s="8">
        <f t="shared" si="0"/>
        <v>-7.8268938507456663E-3</v>
      </c>
    </row>
    <row r="21" spans="1:13" x14ac:dyDescent="0.25">
      <c r="A21" s="13">
        <v>47849</v>
      </c>
      <c r="B21" s="4">
        <v>56.583300000000001</v>
      </c>
      <c r="C21" s="5">
        <v>917678.72</v>
      </c>
      <c r="D21" s="6">
        <f t="shared" si="1"/>
        <v>-959.01000000000931</v>
      </c>
      <c r="E21" s="7">
        <v>5442.78</v>
      </c>
      <c r="F21" s="10">
        <f t="shared" si="2"/>
        <v>1.4700531791740911E-4</v>
      </c>
      <c r="G21" s="5">
        <f t="shared" si="3"/>
        <v>0.8000000000001819</v>
      </c>
      <c r="H21" s="5">
        <v>65313</v>
      </c>
      <c r="I21" s="5">
        <f t="shared" si="4"/>
        <v>9</v>
      </c>
      <c r="J21" s="7">
        <v>5438.46</v>
      </c>
      <c r="K21" s="8">
        <f t="shared" si="5"/>
        <v>-7.937120368634612E-4</v>
      </c>
      <c r="L21" s="5">
        <v>910090.92</v>
      </c>
      <c r="M21" s="8">
        <f t="shared" si="0"/>
        <v>-8.2684711268012513E-3</v>
      </c>
    </row>
    <row r="22" spans="1:13" x14ac:dyDescent="0.25">
      <c r="A22" s="13">
        <v>47880</v>
      </c>
      <c r="B22" s="4">
        <v>56.666699999999999</v>
      </c>
      <c r="C22" s="5">
        <v>950886.81</v>
      </c>
      <c r="D22" s="6">
        <f t="shared" si="1"/>
        <v>33208.090000000084</v>
      </c>
      <c r="E22" s="7">
        <v>5646.51</v>
      </c>
      <c r="F22" s="10">
        <f t="shared" si="2"/>
        <v>3.7431239182917644E-2</v>
      </c>
      <c r="G22" s="5">
        <f t="shared" si="3"/>
        <v>203.73000000000047</v>
      </c>
      <c r="H22" s="5">
        <v>67758</v>
      </c>
      <c r="I22" s="5">
        <f t="shared" si="4"/>
        <v>2445</v>
      </c>
      <c r="J22" s="7">
        <v>5439.07</v>
      </c>
      <c r="K22" s="8">
        <f t="shared" si="5"/>
        <v>-3.673773711549267E-2</v>
      </c>
      <c r="L22" s="5">
        <v>953107.34</v>
      </c>
      <c r="M22" s="8">
        <f t="shared" si="0"/>
        <v>2.3352201089001448E-3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Harvey</dc:creator>
  <cp:lastModifiedBy>Thomas Harvey</cp:lastModifiedBy>
  <dcterms:created xsi:type="dcterms:W3CDTF">2025-10-30T15:49:48Z</dcterms:created>
  <dcterms:modified xsi:type="dcterms:W3CDTF">2025-11-03T19:16:50Z</dcterms:modified>
</cp:coreProperties>
</file>